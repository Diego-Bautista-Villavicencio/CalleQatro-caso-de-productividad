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e8_\eclipse-workspace\proyectoAbneria2020\src\resources\"/>
    </mc:Choice>
  </mc:AlternateContent>
  <xr:revisionPtr revIDLastSave="0" documentId="13_ncr:1_{82EC8A83-2B39-4267-837C-0667DBDCC39F}" xr6:coauthVersionLast="45" xr6:coauthVersionMax="45" xr10:uidLastSave="{00000000-0000-0000-0000-000000000000}"/>
  <bookViews>
    <workbookView xWindow="4860" yWindow="2760" windowWidth="15375" windowHeight="7875" firstSheet="2" activeTab="2" xr2:uid="{00000000-000D-0000-FFFF-FFFF00000000}"/>
  </bookViews>
  <sheets>
    <sheet name="Empleados" sheetId="24" r:id="rId1"/>
    <sheet name="RECIBO NOMINA" sheetId="2" r:id="rId2"/>
    <sheet name="CALCULO Y BASE" sheetId="1" r:id="rId3"/>
    <sheet name="Empleados (2)" sheetId="25" r:id="rId4"/>
    <sheet name="LISTA DE REPORTE" sheetId="5" r:id="rId5"/>
    <sheet name="TABLAS" sheetId="6" r:id="rId6"/>
    <sheet name="IMSS MESUAL" sheetId="7" r:id="rId7"/>
    <sheet name="IMSS BIM" sheetId="8" r:id="rId8"/>
    <sheet name="TARIFAS" sheetId="23" r:id="rId9"/>
    <sheet name="CALCULO DEL ISR 2020" sheetId="22" r:id="rId10"/>
  </sheets>
  <functionGroups builtInGroupCount="19"/>
  <definedNames>
    <definedName name="ANUAL">TARIFAS!$Z$8:$AC$18</definedName>
    <definedName name="_xlnm.Print_Area" localSheetId="2">'CALCULO Y BASE'!$B$1:$Q$35</definedName>
    <definedName name="_xlnm.Print_Area" localSheetId="4">'LISTA DE REPORTE'!$A$1:$M$66</definedName>
    <definedName name="_xlnm.Print_Area" localSheetId="1">'RECIBO NOMINA'!$A$1:$G$33</definedName>
    <definedName name="comments" localSheetId="8">TARIFAS!#REF!</definedName>
    <definedName name="DECENA">TARIFAS!#REF!</definedName>
    <definedName name="DECENAL">TARIFAS!$K$8:$N$18</definedName>
    <definedName name="DIARIA">TARIFAS!$A$8:$D$18</definedName>
    <definedName name="MENSUAL">TARIFAS!$U$8:$X$18</definedName>
    <definedName name="QUINCENAL">TARIFAS!$P$8:$S$18</definedName>
    <definedName name="SA">TARIFAS!$Z$24:$AB$34</definedName>
    <definedName name="SD">TARIFAS!$A$24:$C$34</definedName>
    <definedName name="SDL">TARIFAS!$K$24:$M$33</definedName>
    <definedName name="SEMANAL">TARIFAS!$F$8:$I$18</definedName>
    <definedName name="SM">TARIFAS!$U$24:$W$34</definedName>
    <definedName name="SQ">TARIFAS!$P$24:$R$34</definedName>
    <definedName name="SS">TARIFAS!$F$24:$H$34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6" l="1"/>
  <c r="B22" i="2" l="1"/>
  <c r="E22" i="2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C3" i="1" l="1"/>
  <c r="L30" i="1" l="1"/>
  <c r="P30" i="1" s="1"/>
  <c r="L8" i="1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1" i="24" l="1"/>
  <c r="H57" i="25" l="1"/>
  <c r="G57" i="25"/>
  <c r="F57" i="25"/>
  <c r="E57" i="25"/>
  <c r="D57" i="25"/>
  <c r="C57" i="25"/>
  <c r="B57" i="25"/>
  <c r="A57" i="25"/>
  <c r="H56" i="25"/>
  <c r="G56" i="25"/>
  <c r="F56" i="25"/>
  <c r="E56" i="25"/>
  <c r="D56" i="25"/>
  <c r="C56" i="25"/>
  <c r="B56" i="25"/>
  <c r="A56" i="25"/>
  <c r="H55" i="25"/>
  <c r="G55" i="25"/>
  <c r="F55" i="25"/>
  <c r="E55" i="25"/>
  <c r="D55" i="25"/>
  <c r="C55" i="25"/>
  <c r="B55" i="25"/>
  <c r="A55" i="25"/>
  <c r="H54" i="25"/>
  <c r="G54" i="25"/>
  <c r="F54" i="25"/>
  <c r="E54" i="25"/>
  <c r="D54" i="25"/>
  <c r="C54" i="25"/>
  <c r="B54" i="25"/>
  <c r="A54" i="25"/>
  <c r="H53" i="25"/>
  <c r="G53" i="25"/>
  <c r="F53" i="25"/>
  <c r="E53" i="25"/>
  <c r="D53" i="25"/>
  <c r="C53" i="25"/>
  <c r="B53" i="25"/>
  <c r="A53" i="25"/>
  <c r="H52" i="25"/>
  <c r="G52" i="25"/>
  <c r="F52" i="25"/>
  <c r="E52" i="25"/>
  <c r="D52" i="25"/>
  <c r="C52" i="25"/>
  <c r="B52" i="25"/>
  <c r="A52" i="25"/>
  <c r="H51" i="25"/>
  <c r="G51" i="25"/>
  <c r="F51" i="25"/>
  <c r="E51" i="25"/>
  <c r="D51" i="25"/>
  <c r="C51" i="25"/>
  <c r="B51" i="25"/>
  <c r="A51" i="25"/>
  <c r="H50" i="25"/>
  <c r="G50" i="25"/>
  <c r="F50" i="25"/>
  <c r="E50" i="25"/>
  <c r="D50" i="25"/>
  <c r="C50" i="25"/>
  <c r="B50" i="25"/>
  <c r="A50" i="25"/>
  <c r="H49" i="25"/>
  <c r="G49" i="25"/>
  <c r="F49" i="25"/>
  <c r="E49" i="25"/>
  <c r="D49" i="25"/>
  <c r="C49" i="25"/>
  <c r="B49" i="25"/>
  <c r="A49" i="25"/>
  <c r="H48" i="25"/>
  <c r="G48" i="25"/>
  <c r="F48" i="25"/>
  <c r="E48" i="25"/>
  <c r="D48" i="25"/>
  <c r="C48" i="25"/>
  <c r="B48" i="25"/>
  <c r="A48" i="25"/>
  <c r="H47" i="25"/>
  <c r="G47" i="25"/>
  <c r="F47" i="25"/>
  <c r="E47" i="25"/>
  <c r="D47" i="25"/>
  <c r="C47" i="25"/>
  <c r="B47" i="25"/>
  <c r="A47" i="25"/>
  <c r="H46" i="25"/>
  <c r="G46" i="25"/>
  <c r="F46" i="25"/>
  <c r="E46" i="25"/>
  <c r="D46" i="25"/>
  <c r="C46" i="25"/>
  <c r="B46" i="25"/>
  <c r="A46" i="25"/>
  <c r="H45" i="25"/>
  <c r="G45" i="25"/>
  <c r="F45" i="25"/>
  <c r="E45" i="25"/>
  <c r="D45" i="25"/>
  <c r="C45" i="25"/>
  <c r="B45" i="25"/>
  <c r="A45" i="25"/>
  <c r="H44" i="25"/>
  <c r="G44" i="25"/>
  <c r="F44" i="25"/>
  <c r="E44" i="25"/>
  <c r="D44" i="25"/>
  <c r="C44" i="25"/>
  <c r="B44" i="25"/>
  <c r="A44" i="25"/>
  <c r="H43" i="25"/>
  <c r="G43" i="25"/>
  <c r="F43" i="25"/>
  <c r="E43" i="25"/>
  <c r="D43" i="25"/>
  <c r="C43" i="25"/>
  <c r="B43" i="25"/>
  <c r="A43" i="25"/>
  <c r="H42" i="25"/>
  <c r="G42" i="25"/>
  <c r="F42" i="25"/>
  <c r="E42" i="25"/>
  <c r="D42" i="25"/>
  <c r="C42" i="25"/>
  <c r="B42" i="25"/>
  <c r="A42" i="25"/>
  <c r="H41" i="25"/>
  <c r="G41" i="25"/>
  <c r="F41" i="25"/>
  <c r="E41" i="25"/>
  <c r="D41" i="25"/>
  <c r="C41" i="25"/>
  <c r="B41" i="25"/>
  <c r="A41" i="25"/>
  <c r="H40" i="25"/>
  <c r="G40" i="25"/>
  <c r="F40" i="25"/>
  <c r="E40" i="25"/>
  <c r="D40" i="25"/>
  <c r="C40" i="25"/>
  <c r="B40" i="25"/>
  <c r="A40" i="25"/>
  <c r="H39" i="25"/>
  <c r="G39" i="25"/>
  <c r="F39" i="25"/>
  <c r="E39" i="25"/>
  <c r="D39" i="25"/>
  <c r="C39" i="25"/>
  <c r="B39" i="25"/>
  <c r="A39" i="25"/>
  <c r="H38" i="25"/>
  <c r="G38" i="25"/>
  <c r="F38" i="25"/>
  <c r="E38" i="25"/>
  <c r="D38" i="25"/>
  <c r="C38" i="25"/>
  <c r="B38" i="25"/>
  <c r="A38" i="25"/>
  <c r="H37" i="25"/>
  <c r="G37" i="25"/>
  <c r="F37" i="25"/>
  <c r="E37" i="25"/>
  <c r="D37" i="25"/>
  <c r="C37" i="25"/>
  <c r="B37" i="25"/>
  <c r="A37" i="25"/>
  <c r="H36" i="25"/>
  <c r="G36" i="25"/>
  <c r="F36" i="25"/>
  <c r="E36" i="25"/>
  <c r="D36" i="25"/>
  <c r="C36" i="25"/>
  <c r="B36" i="25"/>
  <c r="A36" i="25"/>
  <c r="H35" i="25"/>
  <c r="G35" i="25"/>
  <c r="F35" i="25"/>
  <c r="E35" i="25"/>
  <c r="D35" i="25"/>
  <c r="C35" i="25"/>
  <c r="B35" i="25"/>
  <c r="A35" i="25"/>
  <c r="H34" i="25"/>
  <c r="G34" i="25"/>
  <c r="F34" i="25"/>
  <c r="E34" i="25"/>
  <c r="D34" i="25"/>
  <c r="C34" i="25"/>
  <c r="B34" i="25"/>
  <c r="A34" i="25"/>
  <c r="H33" i="25"/>
  <c r="G33" i="25"/>
  <c r="F33" i="25"/>
  <c r="E33" i="25"/>
  <c r="D33" i="25"/>
  <c r="C33" i="25"/>
  <c r="B33" i="25"/>
  <c r="A33" i="25"/>
  <c r="H32" i="25"/>
  <c r="G32" i="25"/>
  <c r="F32" i="25"/>
  <c r="E32" i="25"/>
  <c r="D32" i="25"/>
  <c r="C32" i="25"/>
  <c r="B32" i="25"/>
  <c r="A32" i="25"/>
  <c r="H31" i="25"/>
  <c r="G31" i="25"/>
  <c r="F31" i="25"/>
  <c r="E31" i="25"/>
  <c r="D31" i="25"/>
  <c r="C31" i="25"/>
  <c r="B31" i="25"/>
  <c r="A31" i="25"/>
  <c r="H30" i="25"/>
  <c r="G30" i="25"/>
  <c r="F30" i="25"/>
  <c r="E30" i="25"/>
  <c r="D30" i="25"/>
  <c r="C30" i="25"/>
  <c r="B30" i="25"/>
  <c r="A30" i="25"/>
  <c r="H29" i="25"/>
  <c r="G29" i="25"/>
  <c r="F29" i="25"/>
  <c r="E29" i="25"/>
  <c r="D29" i="25"/>
  <c r="C29" i="25"/>
  <c r="B29" i="25"/>
  <c r="A29" i="25"/>
  <c r="H28" i="25"/>
  <c r="G28" i="25"/>
  <c r="F28" i="25"/>
  <c r="E28" i="25"/>
  <c r="D28" i="25"/>
  <c r="C28" i="25"/>
  <c r="B28" i="25"/>
  <c r="A28" i="25"/>
  <c r="H27" i="25"/>
  <c r="G27" i="25"/>
  <c r="F27" i="25"/>
  <c r="E27" i="25"/>
  <c r="D27" i="25"/>
  <c r="C27" i="25"/>
  <c r="B27" i="25"/>
  <c r="A27" i="25"/>
  <c r="H26" i="25"/>
  <c r="G26" i="25"/>
  <c r="F26" i="25"/>
  <c r="E26" i="25"/>
  <c r="D26" i="25"/>
  <c r="C26" i="25"/>
  <c r="B26" i="25"/>
  <c r="A26" i="25"/>
  <c r="H25" i="25"/>
  <c r="G25" i="25"/>
  <c r="F25" i="25"/>
  <c r="E25" i="25"/>
  <c r="D25" i="25"/>
  <c r="C25" i="25"/>
  <c r="B25" i="25"/>
  <c r="A25" i="25"/>
  <c r="H24" i="25"/>
  <c r="G24" i="25"/>
  <c r="F24" i="25"/>
  <c r="E24" i="25"/>
  <c r="D24" i="25"/>
  <c r="C24" i="25"/>
  <c r="B24" i="25"/>
  <c r="A24" i="25"/>
  <c r="H23" i="25"/>
  <c r="G23" i="25"/>
  <c r="F23" i="25"/>
  <c r="E23" i="25"/>
  <c r="D23" i="25"/>
  <c r="C23" i="25"/>
  <c r="B23" i="25"/>
  <c r="A23" i="25"/>
  <c r="H22" i="25"/>
  <c r="G22" i="25"/>
  <c r="F22" i="25"/>
  <c r="E22" i="25"/>
  <c r="D22" i="25"/>
  <c r="C22" i="25"/>
  <c r="B22" i="25"/>
  <c r="A22" i="25"/>
  <c r="H21" i="25"/>
  <c r="G21" i="25"/>
  <c r="F21" i="25"/>
  <c r="E21" i="25"/>
  <c r="D21" i="25"/>
  <c r="C21" i="25"/>
  <c r="B21" i="25"/>
  <c r="A21" i="25"/>
  <c r="H20" i="25"/>
  <c r="G20" i="25"/>
  <c r="F20" i="25"/>
  <c r="E20" i="25"/>
  <c r="D20" i="25"/>
  <c r="C20" i="25"/>
  <c r="B20" i="25"/>
  <c r="A20" i="25"/>
  <c r="H19" i="25"/>
  <c r="G19" i="25"/>
  <c r="F19" i="25"/>
  <c r="E19" i="25"/>
  <c r="D19" i="25"/>
  <c r="C19" i="25"/>
  <c r="B19" i="25"/>
  <c r="A19" i="25"/>
  <c r="H18" i="25"/>
  <c r="G18" i="25"/>
  <c r="F18" i="25"/>
  <c r="E18" i="25"/>
  <c r="D18" i="25"/>
  <c r="C18" i="25"/>
  <c r="B18" i="25"/>
  <c r="A18" i="25"/>
  <c r="H17" i="25"/>
  <c r="G17" i="25"/>
  <c r="F17" i="25"/>
  <c r="E17" i="25"/>
  <c r="D17" i="25"/>
  <c r="C17" i="25"/>
  <c r="B17" i="25"/>
  <c r="A17" i="25"/>
  <c r="H16" i="25"/>
  <c r="G16" i="25"/>
  <c r="F16" i="25"/>
  <c r="E16" i="25"/>
  <c r="D16" i="25"/>
  <c r="C16" i="25"/>
  <c r="B16" i="25"/>
  <c r="A16" i="25"/>
  <c r="H15" i="25"/>
  <c r="G15" i="25"/>
  <c r="F15" i="25"/>
  <c r="E15" i="25"/>
  <c r="D15" i="25"/>
  <c r="C15" i="25"/>
  <c r="B15" i="25"/>
  <c r="A15" i="25"/>
  <c r="H14" i="25"/>
  <c r="G14" i="25"/>
  <c r="F14" i="25"/>
  <c r="E14" i="25"/>
  <c r="D14" i="25"/>
  <c r="C14" i="25"/>
  <c r="B14" i="25"/>
  <c r="A14" i="25"/>
  <c r="H13" i="25"/>
  <c r="G13" i="25"/>
  <c r="F13" i="25"/>
  <c r="E13" i="25"/>
  <c r="D13" i="25"/>
  <c r="C13" i="25"/>
  <c r="B13" i="25"/>
  <c r="A13" i="25"/>
  <c r="H12" i="25"/>
  <c r="G12" i="25"/>
  <c r="F12" i="25"/>
  <c r="E12" i="25"/>
  <c r="D12" i="25"/>
  <c r="C12" i="25"/>
  <c r="B12" i="25"/>
  <c r="A12" i="25"/>
  <c r="H11" i="25"/>
  <c r="G11" i="25"/>
  <c r="F11" i="25"/>
  <c r="E11" i="25"/>
  <c r="D11" i="25"/>
  <c r="C11" i="25"/>
  <c r="B11" i="25"/>
  <c r="A11" i="25"/>
  <c r="H10" i="25"/>
  <c r="G10" i="25"/>
  <c r="F10" i="25"/>
  <c r="E10" i="25"/>
  <c r="D10" i="25"/>
  <c r="C10" i="25"/>
  <c r="B10" i="25"/>
  <c r="A10" i="25"/>
  <c r="H9" i="25"/>
  <c r="G9" i="25"/>
  <c r="F9" i="25"/>
  <c r="E9" i="25"/>
  <c r="D9" i="25"/>
  <c r="C9" i="25"/>
  <c r="B9" i="25"/>
  <c r="A9" i="25"/>
  <c r="H8" i="25"/>
  <c r="G8" i="25"/>
  <c r="F8" i="25"/>
  <c r="E8" i="25"/>
  <c r="D8" i="25"/>
  <c r="C8" i="25"/>
  <c r="B8" i="25"/>
  <c r="A8" i="25"/>
  <c r="H7" i="25"/>
  <c r="G7" i="25"/>
  <c r="F7" i="25"/>
  <c r="E7" i="25"/>
  <c r="D7" i="25"/>
  <c r="C7" i="25"/>
  <c r="B7" i="25"/>
  <c r="A7" i="25"/>
  <c r="H6" i="25"/>
  <c r="G6" i="25"/>
  <c r="F6" i="25"/>
  <c r="E6" i="25"/>
  <c r="D6" i="25"/>
  <c r="C6" i="25"/>
  <c r="B6" i="25"/>
  <c r="A6" i="25"/>
  <c r="H5" i="25"/>
  <c r="G5" i="25"/>
  <c r="F5" i="25"/>
  <c r="E5" i="25"/>
  <c r="D5" i="25"/>
  <c r="C5" i="25"/>
  <c r="B5" i="25"/>
  <c r="A5" i="25"/>
  <c r="H4" i="25"/>
  <c r="G4" i="25"/>
  <c r="F4" i="25"/>
  <c r="E4" i="25"/>
  <c r="D4" i="25"/>
  <c r="C4" i="25"/>
  <c r="B4" i="25"/>
  <c r="A4" i="25"/>
  <c r="H3" i="25"/>
  <c r="G3" i="25"/>
  <c r="F3" i="25"/>
  <c r="E3" i="25"/>
  <c r="D3" i="25"/>
  <c r="C3" i="25"/>
  <c r="B3" i="25"/>
  <c r="A3" i="25"/>
  <c r="G2" i="25"/>
  <c r="F2" i="25"/>
  <c r="E2" i="25"/>
  <c r="D2" i="25"/>
  <c r="C2" i="25"/>
  <c r="B2" i="25"/>
  <c r="A2" i="25"/>
  <c r="I3" i="25" l="1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I8" i="5"/>
  <c r="L8" i="5"/>
  <c r="I9" i="5"/>
  <c r="L9" i="5"/>
  <c r="I10" i="5"/>
  <c r="L10" i="5"/>
  <c r="I11" i="5"/>
  <c r="L11" i="5"/>
  <c r="I12" i="5"/>
  <c r="L12" i="5"/>
  <c r="I13" i="5"/>
  <c r="L13" i="5"/>
  <c r="I14" i="5"/>
  <c r="L14" i="5"/>
  <c r="I15" i="5"/>
  <c r="L15" i="5"/>
  <c r="I16" i="5"/>
  <c r="L16" i="5"/>
  <c r="I17" i="5"/>
  <c r="L17" i="5"/>
  <c r="I18" i="5"/>
  <c r="L18" i="5"/>
  <c r="I19" i="5"/>
  <c r="L19" i="5"/>
  <c r="I20" i="5"/>
  <c r="L20" i="5"/>
  <c r="I21" i="5"/>
  <c r="L21" i="5"/>
  <c r="I22" i="5"/>
  <c r="L22" i="5"/>
  <c r="I23" i="5"/>
  <c r="L23" i="5"/>
  <c r="I24" i="5"/>
  <c r="L24" i="5"/>
  <c r="I25" i="5"/>
  <c r="L25" i="5"/>
  <c r="I26" i="5"/>
  <c r="L26" i="5"/>
  <c r="I27" i="5"/>
  <c r="L27" i="5"/>
  <c r="I28" i="5"/>
  <c r="L28" i="5"/>
  <c r="I29" i="5"/>
  <c r="L29" i="5"/>
  <c r="I30" i="5"/>
  <c r="L30" i="5"/>
  <c r="I31" i="5"/>
  <c r="L31" i="5"/>
  <c r="I32" i="5"/>
  <c r="L32" i="5"/>
  <c r="I33" i="5"/>
  <c r="L33" i="5"/>
  <c r="I34" i="5"/>
  <c r="L34" i="5"/>
  <c r="I35" i="5"/>
  <c r="L35" i="5"/>
  <c r="I36" i="5"/>
  <c r="L36" i="5"/>
  <c r="I37" i="5"/>
  <c r="L37" i="5"/>
  <c r="I38" i="5"/>
  <c r="L38" i="5"/>
  <c r="I39" i="5"/>
  <c r="L39" i="5"/>
  <c r="I40" i="5"/>
  <c r="L40" i="5"/>
  <c r="I41" i="5"/>
  <c r="L41" i="5"/>
  <c r="I42" i="5"/>
  <c r="L42" i="5"/>
  <c r="I43" i="5"/>
  <c r="L43" i="5"/>
  <c r="I44" i="5"/>
  <c r="L44" i="5"/>
  <c r="I45" i="5"/>
  <c r="L45" i="5"/>
  <c r="I46" i="5"/>
  <c r="L46" i="5"/>
  <c r="I47" i="5"/>
  <c r="L47" i="5"/>
  <c r="I48" i="5"/>
  <c r="L48" i="5"/>
  <c r="I49" i="5"/>
  <c r="L49" i="5"/>
  <c r="I50" i="5"/>
  <c r="L50" i="5"/>
  <c r="I51" i="5"/>
  <c r="L51" i="5"/>
  <c r="I52" i="5"/>
  <c r="L52" i="5"/>
  <c r="I53" i="5"/>
  <c r="L53" i="5"/>
  <c r="I54" i="5"/>
  <c r="L54" i="5"/>
  <c r="I55" i="5"/>
  <c r="L55" i="5"/>
  <c r="I56" i="5"/>
  <c r="L56" i="5"/>
  <c r="I57" i="5"/>
  <c r="L57" i="5"/>
  <c r="I58" i="5"/>
  <c r="L58" i="5"/>
  <c r="I59" i="5"/>
  <c r="L59" i="5"/>
  <c r="I60" i="5"/>
  <c r="L60" i="5"/>
  <c r="I61" i="5"/>
  <c r="L61" i="5"/>
  <c r="L7" i="5"/>
  <c r="I7" i="5"/>
  <c r="A56" i="5"/>
  <c r="A122" i="5" s="1"/>
  <c r="B56" i="5"/>
  <c r="B122" i="5" s="1"/>
  <c r="C56" i="5"/>
  <c r="C122" i="5" s="1"/>
  <c r="D56" i="5"/>
  <c r="D122" i="5" s="1"/>
  <c r="E56" i="5"/>
  <c r="E122" i="5" s="1"/>
  <c r="A57" i="5"/>
  <c r="A123" i="5" s="1"/>
  <c r="B57" i="5"/>
  <c r="B123" i="5" s="1"/>
  <c r="C57" i="5"/>
  <c r="C123" i="5" s="1"/>
  <c r="D57" i="5"/>
  <c r="D123" i="5" s="1"/>
  <c r="E57" i="5"/>
  <c r="E123" i="5" s="1"/>
  <c r="A58" i="5"/>
  <c r="A124" i="5" s="1"/>
  <c r="B58" i="5"/>
  <c r="B124" i="5" s="1"/>
  <c r="C58" i="5"/>
  <c r="C124" i="5" s="1"/>
  <c r="D58" i="5"/>
  <c r="D124" i="5" s="1"/>
  <c r="E58" i="5"/>
  <c r="E124" i="5" s="1"/>
  <c r="A59" i="5"/>
  <c r="A125" i="5" s="1"/>
  <c r="B59" i="5"/>
  <c r="B125" i="5" s="1"/>
  <c r="C59" i="5"/>
  <c r="C125" i="5" s="1"/>
  <c r="D59" i="5"/>
  <c r="D125" i="5" s="1"/>
  <c r="E59" i="5"/>
  <c r="E125" i="5" s="1"/>
  <c r="A60" i="5"/>
  <c r="A126" i="5" s="1"/>
  <c r="B60" i="5"/>
  <c r="B126" i="5" s="1"/>
  <c r="C60" i="5"/>
  <c r="C126" i="5" s="1"/>
  <c r="D60" i="5"/>
  <c r="D126" i="5" s="1"/>
  <c r="E60" i="5"/>
  <c r="E126" i="5" s="1"/>
  <c r="A61" i="5"/>
  <c r="A127" i="5" s="1"/>
  <c r="B61" i="5"/>
  <c r="B127" i="5" s="1"/>
  <c r="C61" i="5"/>
  <c r="C127" i="5" s="1"/>
  <c r="D61" i="5"/>
  <c r="D127" i="5" s="1"/>
  <c r="E61" i="5"/>
  <c r="E127" i="5" s="1"/>
  <c r="A49" i="5"/>
  <c r="A115" i="5" s="1"/>
  <c r="B49" i="5"/>
  <c r="B115" i="5" s="1"/>
  <c r="C49" i="5"/>
  <c r="C115" i="5" s="1"/>
  <c r="D49" i="5"/>
  <c r="D115" i="5" s="1"/>
  <c r="E49" i="5"/>
  <c r="E115" i="5" s="1"/>
  <c r="A50" i="5"/>
  <c r="A116" i="5" s="1"/>
  <c r="B50" i="5"/>
  <c r="B116" i="5" s="1"/>
  <c r="C50" i="5"/>
  <c r="C116" i="5" s="1"/>
  <c r="D50" i="5"/>
  <c r="D116" i="5" s="1"/>
  <c r="E50" i="5"/>
  <c r="E116" i="5" s="1"/>
  <c r="A51" i="5"/>
  <c r="A117" i="5" s="1"/>
  <c r="B51" i="5"/>
  <c r="B117" i="5" s="1"/>
  <c r="C51" i="5"/>
  <c r="C117" i="5" s="1"/>
  <c r="D51" i="5"/>
  <c r="D117" i="5" s="1"/>
  <c r="E51" i="5"/>
  <c r="E117" i="5" s="1"/>
  <c r="A52" i="5"/>
  <c r="A118" i="5" s="1"/>
  <c r="B52" i="5"/>
  <c r="B118" i="5" s="1"/>
  <c r="C52" i="5"/>
  <c r="C118" i="5" s="1"/>
  <c r="D52" i="5"/>
  <c r="D118" i="5" s="1"/>
  <c r="E52" i="5"/>
  <c r="E118" i="5" s="1"/>
  <c r="A53" i="5"/>
  <c r="A119" i="5" s="1"/>
  <c r="B53" i="5"/>
  <c r="B119" i="5" s="1"/>
  <c r="C53" i="5"/>
  <c r="C119" i="5" s="1"/>
  <c r="D53" i="5"/>
  <c r="D119" i="5" s="1"/>
  <c r="E53" i="5"/>
  <c r="E119" i="5" s="1"/>
  <c r="A54" i="5"/>
  <c r="A120" i="5" s="1"/>
  <c r="B54" i="5"/>
  <c r="B120" i="5" s="1"/>
  <c r="C54" i="5"/>
  <c r="C120" i="5" s="1"/>
  <c r="D54" i="5"/>
  <c r="D120" i="5" s="1"/>
  <c r="E54" i="5"/>
  <c r="E120" i="5" s="1"/>
  <c r="A55" i="5"/>
  <c r="A121" i="5" s="1"/>
  <c r="B55" i="5"/>
  <c r="B121" i="5" s="1"/>
  <c r="C55" i="5"/>
  <c r="C121" i="5" s="1"/>
  <c r="D55" i="5"/>
  <c r="D121" i="5" s="1"/>
  <c r="E55" i="5"/>
  <c r="E121" i="5" s="1"/>
  <c r="B28" i="5"/>
  <c r="B94" i="5" s="1"/>
  <c r="C28" i="5"/>
  <c r="C94" i="5" s="1"/>
  <c r="D28" i="5"/>
  <c r="D94" i="5" s="1"/>
  <c r="E28" i="5"/>
  <c r="E94" i="5" s="1"/>
  <c r="B29" i="5"/>
  <c r="B95" i="5" s="1"/>
  <c r="C29" i="5"/>
  <c r="C95" i="5" s="1"/>
  <c r="D29" i="5"/>
  <c r="D95" i="5" s="1"/>
  <c r="E29" i="5"/>
  <c r="E95" i="5" s="1"/>
  <c r="B30" i="5"/>
  <c r="B96" i="5" s="1"/>
  <c r="C30" i="5"/>
  <c r="C96" i="5" s="1"/>
  <c r="D30" i="5"/>
  <c r="D96" i="5" s="1"/>
  <c r="E30" i="5"/>
  <c r="E96" i="5" s="1"/>
  <c r="B31" i="5"/>
  <c r="B97" i="5" s="1"/>
  <c r="C31" i="5"/>
  <c r="C97" i="5" s="1"/>
  <c r="D31" i="5"/>
  <c r="D97" i="5" s="1"/>
  <c r="E31" i="5"/>
  <c r="E97" i="5" s="1"/>
  <c r="B32" i="5"/>
  <c r="B98" i="5" s="1"/>
  <c r="C32" i="5"/>
  <c r="C98" i="5" s="1"/>
  <c r="D32" i="5"/>
  <c r="D98" i="5" s="1"/>
  <c r="E32" i="5"/>
  <c r="E98" i="5" s="1"/>
  <c r="B33" i="5"/>
  <c r="B99" i="5" s="1"/>
  <c r="C33" i="5"/>
  <c r="C99" i="5" s="1"/>
  <c r="D33" i="5"/>
  <c r="D99" i="5" s="1"/>
  <c r="E33" i="5"/>
  <c r="E99" i="5" s="1"/>
  <c r="B34" i="5"/>
  <c r="B100" i="5" s="1"/>
  <c r="C34" i="5"/>
  <c r="C100" i="5" s="1"/>
  <c r="D34" i="5"/>
  <c r="D100" i="5" s="1"/>
  <c r="E34" i="5"/>
  <c r="E100" i="5" s="1"/>
  <c r="B35" i="5"/>
  <c r="B101" i="5" s="1"/>
  <c r="C35" i="5"/>
  <c r="C101" i="5" s="1"/>
  <c r="D35" i="5"/>
  <c r="D101" i="5" s="1"/>
  <c r="E35" i="5"/>
  <c r="E101" i="5" s="1"/>
  <c r="B36" i="5"/>
  <c r="B102" i="5" s="1"/>
  <c r="C36" i="5"/>
  <c r="C102" i="5" s="1"/>
  <c r="D36" i="5"/>
  <c r="D102" i="5" s="1"/>
  <c r="E36" i="5"/>
  <c r="E102" i="5" s="1"/>
  <c r="B37" i="5"/>
  <c r="B103" i="5" s="1"/>
  <c r="C37" i="5"/>
  <c r="C103" i="5" s="1"/>
  <c r="D37" i="5"/>
  <c r="D103" i="5" s="1"/>
  <c r="E37" i="5"/>
  <c r="E103" i="5" s="1"/>
  <c r="B38" i="5"/>
  <c r="B104" i="5" s="1"/>
  <c r="C38" i="5"/>
  <c r="C104" i="5" s="1"/>
  <c r="D38" i="5"/>
  <c r="D104" i="5" s="1"/>
  <c r="E38" i="5"/>
  <c r="E104" i="5" s="1"/>
  <c r="B39" i="5"/>
  <c r="B105" i="5" s="1"/>
  <c r="C39" i="5"/>
  <c r="C105" i="5" s="1"/>
  <c r="D39" i="5"/>
  <c r="D105" i="5" s="1"/>
  <c r="E39" i="5"/>
  <c r="E105" i="5" s="1"/>
  <c r="A40" i="5"/>
  <c r="A106" i="5" s="1"/>
  <c r="B40" i="5"/>
  <c r="B106" i="5" s="1"/>
  <c r="C40" i="5"/>
  <c r="C106" i="5" s="1"/>
  <c r="D40" i="5"/>
  <c r="D106" i="5" s="1"/>
  <c r="E40" i="5"/>
  <c r="E106" i="5" s="1"/>
  <c r="A41" i="5"/>
  <c r="A107" i="5" s="1"/>
  <c r="B41" i="5"/>
  <c r="B107" i="5" s="1"/>
  <c r="C41" i="5"/>
  <c r="C107" i="5" s="1"/>
  <c r="D41" i="5"/>
  <c r="D107" i="5" s="1"/>
  <c r="E41" i="5"/>
  <c r="E107" i="5" s="1"/>
  <c r="A42" i="5"/>
  <c r="A108" i="5" s="1"/>
  <c r="B42" i="5"/>
  <c r="B108" i="5" s="1"/>
  <c r="C42" i="5"/>
  <c r="C108" i="5" s="1"/>
  <c r="D42" i="5"/>
  <c r="D108" i="5" s="1"/>
  <c r="E42" i="5"/>
  <c r="E108" i="5" s="1"/>
  <c r="A43" i="5"/>
  <c r="A109" i="5" s="1"/>
  <c r="B43" i="5"/>
  <c r="B109" i="5" s="1"/>
  <c r="C43" i="5"/>
  <c r="C109" i="5" s="1"/>
  <c r="D43" i="5"/>
  <c r="D109" i="5" s="1"/>
  <c r="E43" i="5"/>
  <c r="E109" i="5" s="1"/>
  <c r="A44" i="5"/>
  <c r="A110" i="5" s="1"/>
  <c r="B44" i="5"/>
  <c r="B110" i="5" s="1"/>
  <c r="C44" i="5"/>
  <c r="C110" i="5" s="1"/>
  <c r="D44" i="5"/>
  <c r="D110" i="5" s="1"/>
  <c r="E44" i="5"/>
  <c r="E110" i="5" s="1"/>
  <c r="A45" i="5"/>
  <c r="A111" i="5" s="1"/>
  <c r="B45" i="5"/>
  <c r="B111" i="5" s="1"/>
  <c r="C45" i="5"/>
  <c r="C111" i="5" s="1"/>
  <c r="D45" i="5"/>
  <c r="D111" i="5" s="1"/>
  <c r="E45" i="5"/>
  <c r="E111" i="5" s="1"/>
  <c r="A46" i="5"/>
  <c r="A112" i="5" s="1"/>
  <c r="B46" i="5"/>
  <c r="B112" i="5" s="1"/>
  <c r="C46" i="5"/>
  <c r="C112" i="5" s="1"/>
  <c r="D46" i="5"/>
  <c r="D112" i="5" s="1"/>
  <c r="E46" i="5"/>
  <c r="E112" i="5" s="1"/>
  <c r="A47" i="5"/>
  <c r="A113" i="5" s="1"/>
  <c r="B47" i="5"/>
  <c r="B113" i="5" s="1"/>
  <c r="C47" i="5"/>
  <c r="C113" i="5" s="1"/>
  <c r="D47" i="5"/>
  <c r="D113" i="5" s="1"/>
  <c r="E47" i="5"/>
  <c r="E113" i="5" s="1"/>
  <c r="A48" i="5"/>
  <c r="A114" i="5" s="1"/>
  <c r="B48" i="5"/>
  <c r="B114" i="5" s="1"/>
  <c r="C48" i="5"/>
  <c r="C114" i="5" s="1"/>
  <c r="D48" i="5"/>
  <c r="D114" i="5" s="1"/>
  <c r="E48" i="5"/>
  <c r="E114" i="5" s="1"/>
  <c r="F6" i="1"/>
  <c r="F8" i="1"/>
  <c r="C3" i="24" s="1"/>
  <c r="F9" i="1"/>
  <c r="F10" i="1"/>
  <c r="C5" i="24" s="1"/>
  <c r="F11" i="1"/>
  <c r="C6" i="24" s="1"/>
  <c r="F12" i="1"/>
  <c r="C7" i="24" s="1"/>
  <c r="F13" i="1"/>
  <c r="C8" i="24" s="1"/>
  <c r="F14" i="1"/>
  <c r="C9" i="24" s="1"/>
  <c r="F15" i="1"/>
  <c r="F16" i="1"/>
  <c r="C11" i="24" s="1"/>
  <c r="F17" i="1"/>
  <c r="C12" i="24" s="1"/>
  <c r="F18" i="1"/>
  <c r="C13" i="24" s="1"/>
  <c r="F19" i="1"/>
  <c r="C14" i="24" s="1"/>
  <c r="F20" i="1"/>
  <c r="C15" i="24" s="1"/>
  <c r="F21" i="1"/>
  <c r="C16" i="24" s="1"/>
  <c r="F22" i="1"/>
  <c r="C17" i="24" s="1"/>
  <c r="F23" i="1"/>
  <c r="C18" i="24" s="1"/>
  <c r="F24" i="1"/>
  <c r="C19" i="24" s="1"/>
  <c r="F25" i="1"/>
  <c r="F26" i="1"/>
  <c r="C21" i="24" s="1"/>
  <c r="F27" i="1"/>
  <c r="F28" i="1"/>
  <c r="C23" i="24" s="1"/>
  <c r="F29" i="1"/>
  <c r="F30" i="1"/>
  <c r="C25" i="24" s="1"/>
  <c r="F31" i="1"/>
  <c r="F32" i="1"/>
  <c r="C27" i="24" s="1"/>
  <c r="F33" i="1"/>
  <c r="F34" i="1"/>
  <c r="C29" i="24" s="1"/>
  <c r="F35" i="1"/>
  <c r="F36" i="1"/>
  <c r="C31" i="24" s="1"/>
  <c r="F37" i="1"/>
  <c r="A8" i="5"/>
  <c r="A74" i="5" s="1"/>
  <c r="B8" i="5"/>
  <c r="B74" i="5" s="1"/>
  <c r="C8" i="5"/>
  <c r="C74" i="5" s="1"/>
  <c r="D8" i="5"/>
  <c r="D74" i="5" s="1"/>
  <c r="E8" i="5"/>
  <c r="E74" i="5" s="1"/>
  <c r="A9" i="5"/>
  <c r="A75" i="5" s="1"/>
  <c r="B9" i="5"/>
  <c r="B75" i="5" s="1"/>
  <c r="C9" i="5"/>
  <c r="C75" i="5" s="1"/>
  <c r="D9" i="5"/>
  <c r="D75" i="5" s="1"/>
  <c r="E9" i="5"/>
  <c r="E75" i="5" s="1"/>
  <c r="B10" i="5"/>
  <c r="B76" i="5" s="1"/>
  <c r="C10" i="5"/>
  <c r="C76" i="5" s="1"/>
  <c r="D10" i="5"/>
  <c r="D76" i="5" s="1"/>
  <c r="E10" i="5"/>
  <c r="E76" i="5" s="1"/>
  <c r="B11" i="5"/>
  <c r="B77" i="5" s="1"/>
  <c r="C11" i="5"/>
  <c r="C77" i="5" s="1"/>
  <c r="D11" i="5"/>
  <c r="D77" i="5" s="1"/>
  <c r="E11" i="5"/>
  <c r="E77" i="5" s="1"/>
  <c r="B12" i="5"/>
  <c r="B78" i="5" s="1"/>
  <c r="C12" i="5"/>
  <c r="C78" i="5" s="1"/>
  <c r="D12" i="5"/>
  <c r="D78" i="5" s="1"/>
  <c r="E12" i="5"/>
  <c r="E78" i="5" s="1"/>
  <c r="B13" i="5"/>
  <c r="B79" i="5" s="1"/>
  <c r="C13" i="5"/>
  <c r="C79" i="5" s="1"/>
  <c r="D13" i="5"/>
  <c r="D79" i="5" s="1"/>
  <c r="E13" i="5"/>
  <c r="E79" i="5" s="1"/>
  <c r="B14" i="5"/>
  <c r="B80" i="5" s="1"/>
  <c r="C14" i="5"/>
  <c r="C80" i="5" s="1"/>
  <c r="D14" i="5"/>
  <c r="D80" i="5" s="1"/>
  <c r="E14" i="5"/>
  <c r="E80" i="5" s="1"/>
  <c r="B15" i="5"/>
  <c r="B81" i="5" s="1"/>
  <c r="C15" i="5"/>
  <c r="C81" i="5" s="1"/>
  <c r="D15" i="5"/>
  <c r="D81" i="5" s="1"/>
  <c r="E15" i="5"/>
  <c r="E81" i="5" s="1"/>
  <c r="B16" i="5"/>
  <c r="B82" i="5" s="1"/>
  <c r="C16" i="5"/>
  <c r="C82" i="5" s="1"/>
  <c r="D16" i="5"/>
  <c r="D82" i="5" s="1"/>
  <c r="E16" i="5"/>
  <c r="E82" i="5" s="1"/>
  <c r="B17" i="5"/>
  <c r="B83" i="5" s="1"/>
  <c r="C17" i="5"/>
  <c r="C83" i="5" s="1"/>
  <c r="D17" i="5"/>
  <c r="D83" i="5" s="1"/>
  <c r="E17" i="5"/>
  <c r="E83" i="5" s="1"/>
  <c r="B18" i="5"/>
  <c r="B84" i="5" s="1"/>
  <c r="C18" i="5"/>
  <c r="C84" i="5" s="1"/>
  <c r="D18" i="5"/>
  <c r="D84" i="5" s="1"/>
  <c r="E18" i="5"/>
  <c r="E84" i="5" s="1"/>
  <c r="B19" i="5"/>
  <c r="B85" i="5" s="1"/>
  <c r="C19" i="5"/>
  <c r="C85" i="5" s="1"/>
  <c r="D19" i="5"/>
  <c r="D85" i="5" s="1"/>
  <c r="E19" i="5"/>
  <c r="E85" i="5" s="1"/>
  <c r="B20" i="5"/>
  <c r="B86" i="5" s="1"/>
  <c r="C20" i="5"/>
  <c r="C86" i="5" s="1"/>
  <c r="D20" i="5"/>
  <c r="D86" i="5" s="1"/>
  <c r="E20" i="5"/>
  <c r="E86" i="5" s="1"/>
  <c r="B21" i="5"/>
  <c r="B87" i="5" s="1"/>
  <c r="C21" i="5"/>
  <c r="C87" i="5" s="1"/>
  <c r="D21" i="5"/>
  <c r="D87" i="5" s="1"/>
  <c r="E21" i="5"/>
  <c r="E87" i="5" s="1"/>
  <c r="B22" i="5"/>
  <c r="B88" i="5" s="1"/>
  <c r="C22" i="5"/>
  <c r="C88" i="5" s="1"/>
  <c r="D22" i="5"/>
  <c r="D88" i="5" s="1"/>
  <c r="E22" i="5"/>
  <c r="E88" i="5" s="1"/>
  <c r="B23" i="5"/>
  <c r="B89" i="5" s="1"/>
  <c r="C23" i="5"/>
  <c r="C89" i="5" s="1"/>
  <c r="D23" i="5"/>
  <c r="D89" i="5" s="1"/>
  <c r="E23" i="5"/>
  <c r="E89" i="5" s="1"/>
  <c r="B24" i="5"/>
  <c r="B90" i="5" s="1"/>
  <c r="C24" i="5"/>
  <c r="C90" i="5" s="1"/>
  <c r="D24" i="5"/>
  <c r="D90" i="5" s="1"/>
  <c r="E24" i="5"/>
  <c r="E90" i="5" s="1"/>
  <c r="B25" i="5"/>
  <c r="B91" i="5" s="1"/>
  <c r="C25" i="5"/>
  <c r="C91" i="5" s="1"/>
  <c r="D25" i="5"/>
  <c r="D91" i="5" s="1"/>
  <c r="E25" i="5"/>
  <c r="E91" i="5" s="1"/>
  <c r="B26" i="5"/>
  <c r="B92" i="5" s="1"/>
  <c r="C26" i="5"/>
  <c r="C92" i="5" s="1"/>
  <c r="D26" i="5"/>
  <c r="D92" i="5" s="1"/>
  <c r="E26" i="5"/>
  <c r="E92" i="5" s="1"/>
  <c r="B27" i="5"/>
  <c r="B93" i="5" s="1"/>
  <c r="C27" i="5"/>
  <c r="C93" i="5" s="1"/>
  <c r="D27" i="5"/>
  <c r="D93" i="5" s="1"/>
  <c r="E27" i="5"/>
  <c r="E93" i="5" s="1"/>
  <c r="B7" i="5"/>
  <c r="B73" i="5" s="1"/>
  <c r="C7" i="5"/>
  <c r="D7" i="5"/>
  <c r="E7" i="5"/>
  <c r="E73" i="5" s="1"/>
  <c r="B5" i="5"/>
  <c r="B71" i="5" s="1"/>
  <c r="E6" i="2"/>
  <c r="L7" i="1"/>
  <c r="L9" i="1"/>
  <c r="L10" i="1"/>
  <c r="P10" i="1" s="1"/>
  <c r="L11" i="1"/>
  <c r="L12" i="1"/>
  <c r="L13" i="1"/>
  <c r="L14" i="1"/>
  <c r="L15" i="1"/>
  <c r="L16" i="1"/>
  <c r="L17" i="1"/>
  <c r="L18" i="1"/>
  <c r="P18" i="1" s="1"/>
  <c r="L19" i="1"/>
  <c r="L20" i="1"/>
  <c r="L21" i="1"/>
  <c r="L22" i="1"/>
  <c r="P22" i="1" s="1"/>
  <c r="L23" i="1"/>
  <c r="L24" i="1"/>
  <c r="L25" i="1"/>
  <c r="L26" i="1"/>
  <c r="P26" i="1" s="1"/>
  <c r="L27" i="1"/>
  <c r="L28" i="1"/>
  <c r="L29" i="1"/>
  <c r="L31" i="1"/>
  <c r="L32" i="1"/>
  <c r="L33" i="1"/>
  <c r="L34" i="1"/>
  <c r="P34" i="1" s="1"/>
  <c r="L35" i="1"/>
  <c r="L36" i="1"/>
  <c r="L37" i="1"/>
  <c r="L38" i="1"/>
  <c r="P38" i="1" s="1"/>
  <c r="L39" i="1"/>
  <c r="L40" i="1"/>
  <c r="L41" i="1"/>
  <c r="L42" i="1"/>
  <c r="P42" i="1" s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Q65" i="1" s="1"/>
  <c r="L6" i="1"/>
  <c r="L66" i="1"/>
  <c r="Q66" i="1" s="1"/>
  <c r="L67" i="1"/>
  <c r="Q67" i="1" s="1"/>
  <c r="L68" i="1"/>
  <c r="Q68" i="1" s="1"/>
  <c r="L69" i="1"/>
  <c r="C1" i="7"/>
  <c r="H35" i="7" s="1"/>
  <c r="Q35" i="7" s="1"/>
  <c r="AD61" i="1"/>
  <c r="AD62" i="1"/>
  <c r="AD63" i="1"/>
  <c r="AD64" i="1"/>
  <c r="AD65" i="1"/>
  <c r="AD66" i="1"/>
  <c r="AD67" i="1"/>
  <c r="AD68" i="1"/>
  <c r="AD69" i="1"/>
  <c r="AD70" i="1"/>
  <c r="B18" i="2"/>
  <c r="F7" i="1"/>
  <c r="C2" i="24" s="1"/>
  <c r="F12" i="5"/>
  <c r="F78" i="5" s="1"/>
  <c r="F20" i="5"/>
  <c r="F86" i="5" s="1"/>
  <c r="F24" i="5"/>
  <c r="F90" i="5" s="1"/>
  <c r="F38" i="1"/>
  <c r="C33" i="24" s="1"/>
  <c r="F39" i="1"/>
  <c r="F40" i="1"/>
  <c r="F41" i="1"/>
  <c r="C36" i="24" s="1"/>
  <c r="F42" i="1"/>
  <c r="C37" i="24" s="1"/>
  <c r="F43" i="1"/>
  <c r="F44" i="1"/>
  <c r="F45" i="1"/>
  <c r="C40" i="24" s="1"/>
  <c r="F46" i="1"/>
  <c r="C41" i="24" s="1"/>
  <c r="F47" i="1"/>
  <c r="F48" i="1"/>
  <c r="F49" i="1"/>
  <c r="C44" i="24" s="1"/>
  <c r="F50" i="1"/>
  <c r="C45" i="24" s="1"/>
  <c r="F51" i="1"/>
  <c r="F52" i="1"/>
  <c r="F53" i="1"/>
  <c r="C48" i="24" s="1"/>
  <c r="F54" i="1"/>
  <c r="C49" i="24" s="1"/>
  <c r="F55" i="1"/>
  <c r="F56" i="1"/>
  <c r="F57" i="1"/>
  <c r="C52" i="24" s="1"/>
  <c r="F58" i="1"/>
  <c r="C53" i="24" s="1"/>
  <c r="F59" i="1"/>
  <c r="F60" i="1"/>
  <c r="B14" i="2"/>
  <c r="I61" i="8"/>
  <c r="J61" i="8"/>
  <c r="K61" i="8"/>
  <c r="O61" i="8" s="1"/>
  <c r="L61" i="8"/>
  <c r="I62" i="8"/>
  <c r="J62" i="8"/>
  <c r="N62" i="8" s="1"/>
  <c r="K62" i="8"/>
  <c r="O62" i="8" s="1"/>
  <c r="L62" i="8"/>
  <c r="L62" i="7"/>
  <c r="O62" i="7"/>
  <c r="P62" i="7"/>
  <c r="Q62" i="7"/>
  <c r="R62" i="7"/>
  <c r="S62" i="7"/>
  <c r="T62" i="7"/>
  <c r="V62" i="7"/>
  <c r="L61" i="7"/>
  <c r="O61" i="7"/>
  <c r="P61" i="7"/>
  <c r="Q61" i="7"/>
  <c r="R61" i="7"/>
  <c r="S61" i="7"/>
  <c r="T61" i="7"/>
  <c r="V61" i="7"/>
  <c r="K61" i="7"/>
  <c r="K62" i="7"/>
  <c r="Q70" i="1"/>
  <c r="Q71" i="1"/>
  <c r="Q72" i="1"/>
  <c r="Q73" i="1"/>
  <c r="Q74" i="1"/>
  <c r="Q75" i="1"/>
  <c r="Q76" i="1"/>
  <c r="Q77" i="1"/>
  <c r="Q78" i="1"/>
  <c r="A1" i="24"/>
  <c r="B1" i="24"/>
  <c r="E1" i="24"/>
  <c r="F1" i="24"/>
  <c r="G1" i="24"/>
  <c r="I1" i="24" s="1"/>
  <c r="H1" i="24"/>
  <c r="A2" i="24"/>
  <c r="B2" i="24"/>
  <c r="E2" i="24"/>
  <c r="F2" i="24"/>
  <c r="G2" i="24"/>
  <c r="I2" i="24" s="1"/>
  <c r="H2" i="24"/>
  <c r="A3" i="24"/>
  <c r="B3" i="24"/>
  <c r="E3" i="24"/>
  <c r="F3" i="24"/>
  <c r="G3" i="24"/>
  <c r="I3" i="24" s="1"/>
  <c r="H3" i="24"/>
  <c r="A4" i="24"/>
  <c r="B4" i="24"/>
  <c r="E4" i="24"/>
  <c r="F4" i="24"/>
  <c r="G4" i="24"/>
  <c r="I4" i="24" s="1"/>
  <c r="H4" i="24"/>
  <c r="A5" i="24"/>
  <c r="B5" i="24"/>
  <c r="E5" i="24"/>
  <c r="F5" i="24"/>
  <c r="G5" i="24"/>
  <c r="I5" i="24" s="1"/>
  <c r="H5" i="24"/>
  <c r="A6" i="24"/>
  <c r="B6" i="24"/>
  <c r="E6" i="24"/>
  <c r="F6" i="24"/>
  <c r="G6" i="24"/>
  <c r="I6" i="24" s="1"/>
  <c r="H6" i="24"/>
  <c r="A7" i="24"/>
  <c r="B7" i="24"/>
  <c r="E7" i="24"/>
  <c r="F7" i="24"/>
  <c r="G7" i="24"/>
  <c r="I7" i="24" s="1"/>
  <c r="H7" i="24"/>
  <c r="A8" i="24"/>
  <c r="B8" i="24"/>
  <c r="E8" i="24"/>
  <c r="F8" i="24"/>
  <c r="G8" i="24"/>
  <c r="I8" i="24" s="1"/>
  <c r="H8" i="24"/>
  <c r="A9" i="24"/>
  <c r="B9" i="24"/>
  <c r="E9" i="24"/>
  <c r="F9" i="24"/>
  <c r="G9" i="24"/>
  <c r="I9" i="24" s="1"/>
  <c r="H9" i="24"/>
  <c r="A10" i="24"/>
  <c r="B10" i="24"/>
  <c r="E10" i="24"/>
  <c r="F10" i="24"/>
  <c r="G10" i="24"/>
  <c r="I10" i="24" s="1"/>
  <c r="H10" i="24"/>
  <c r="A11" i="24"/>
  <c r="B11" i="24"/>
  <c r="E11" i="24"/>
  <c r="F11" i="24"/>
  <c r="G11" i="24"/>
  <c r="I11" i="24" s="1"/>
  <c r="H11" i="24"/>
  <c r="A12" i="24"/>
  <c r="B12" i="24"/>
  <c r="E12" i="24"/>
  <c r="F12" i="24"/>
  <c r="G12" i="24"/>
  <c r="I12" i="24" s="1"/>
  <c r="H12" i="24"/>
  <c r="A13" i="24"/>
  <c r="B13" i="24"/>
  <c r="E13" i="24"/>
  <c r="F13" i="24"/>
  <c r="G13" i="24"/>
  <c r="I13" i="24" s="1"/>
  <c r="H13" i="24"/>
  <c r="A14" i="24"/>
  <c r="B14" i="24"/>
  <c r="E14" i="24"/>
  <c r="F14" i="24"/>
  <c r="G14" i="24"/>
  <c r="I14" i="24" s="1"/>
  <c r="H14" i="24"/>
  <c r="A15" i="24"/>
  <c r="B15" i="24"/>
  <c r="E15" i="24"/>
  <c r="F15" i="24"/>
  <c r="G15" i="24"/>
  <c r="I15" i="24" s="1"/>
  <c r="H15" i="24"/>
  <c r="A16" i="24"/>
  <c r="B16" i="24"/>
  <c r="E16" i="24"/>
  <c r="F16" i="24"/>
  <c r="G16" i="24"/>
  <c r="I16" i="24" s="1"/>
  <c r="H16" i="24"/>
  <c r="A17" i="24"/>
  <c r="B17" i="24"/>
  <c r="E17" i="24"/>
  <c r="F17" i="24"/>
  <c r="G17" i="24"/>
  <c r="I17" i="24" s="1"/>
  <c r="H17" i="24"/>
  <c r="A18" i="24"/>
  <c r="B18" i="24"/>
  <c r="E18" i="24"/>
  <c r="F18" i="24"/>
  <c r="G18" i="24"/>
  <c r="I18" i="24" s="1"/>
  <c r="H18" i="24"/>
  <c r="A19" i="24"/>
  <c r="B19" i="24"/>
  <c r="E19" i="24"/>
  <c r="F19" i="24"/>
  <c r="G19" i="24"/>
  <c r="I19" i="24" s="1"/>
  <c r="H19" i="24"/>
  <c r="A20" i="24"/>
  <c r="B20" i="24"/>
  <c r="E20" i="24"/>
  <c r="F20" i="24"/>
  <c r="G20" i="24"/>
  <c r="I20" i="24" s="1"/>
  <c r="H20" i="24"/>
  <c r="A21" i="24"/>
  <c r="B21" i="24"/>
  <c r="E21" i="24"/>
  <c r="F21" i="24"/>
  <c r="G21" i="24"/>
  <c r="I21" i="24" s="1"/>
  <c r="H21" i="24"/>
  <c r="A22" i="24"/>
  <c r="B22" i="24"/>
  <c r="E22" i="24"/>
  <c r="F22" i="24"/>
  <c r="G22" i="24"/>
  <c r="I22" i="24" s="1"/>
  <c r="H22" i="24"/>
  <c r="A23" i="24"/>
  <c r="B23" i="24"/>
  <c r="E23" i="24"/>
  <c r="F23" i="24"/>
  <c r="G23" i="24"/>
  <c r="I23" i="24" s="1"/>
  <c r="H23" i="24"/>
  <c r="A24" i="24"/>
  <c r="B24" i="24"/>
  <c r="E24" i="24"/>
  <c r="F24" i="24"/>
  <c r="G24" i="24"/>
  <c r="I24" i="24" s="1"/>
  <c r="H24" i="24"/>
  <c r="A25" i="24"/>
  <c r="B25" i="24"/>
  <c r="E25" i="24"/>
  <c r="F25" i="24"/>
  <c r="G25" i="24"/>
  <c r="I25" i="24" s="1"/>
  <c r="H25" i="24"/>
  <c r="A26" i="24"/>
  <c r="B26" i="24"/>
  <c r="E26" i="24"/>
  <c r="F26" i="24"/>
  <c r="G26" i="24"/>
  <c r="I26" i="24" s="1"/>
  <c r="H26" i="24"/>
  <c r="A27" i="24"/>
  <c r="B27" i="24"/>
  <c r="E27" i="24"/>
  <c r="F27" i="24"/>
  <c r="G27" i="24"/>
  <c r="I27" i="24" s="1"/>
  <c r="H27" i="24"/>
  <c r="A28" i="24"/>
  <c r="B28" i="24"/>
  <c r="E28" i="24"/>
  <c r="F28" i="24"/>
  <c r="G28" i="24"/>
  <c r="I28" i="24" s="1"/>
  <c r="H28" i="24"/>
  <c r="A29" i="24"/>
  <c r="B29" i="24"/>
  <c r="E29" i="24"/>
  <c r="F29" i="24"/>
  <c r="G29" i="24"/>
  <c r="I29" i="24" s="1"/>
  <c r="H29" i="24"/>
  <c r="A30" i="24"/>
  <c r="B30" i="24"/>
  <c r="E30" i="24"/>
  <c r="F30" i="24"/>
  <c r="G30" i="24"/>
  <c r="I30" i="24" s="1"/>
  <c r="H30" i="24"/>
  <c r="A31" i="24"/>
  <c r="B31" i="24"/>
  <c r="E31" i="24"/>
  <c r="F31" i="24"/>
  <c r="G31" i="24"/>
  <c r="I31" i="24" s="1"/>
  <c r="H31" i="24"/>
  <c r="A32" i="24"/>
  <c r="B32" i="24"/>
  <c r="E32" i="24"/>
  <c r="F32" i="24"/>
  <c r="G32" i="24"/>
  <c r="I32" i="24" s="1"/>
  <c r="H32" i="24"/>
  <c r="A33" i="24"/>
  <c r="B33" i="24"/>
  <c r="E33" i="24"/>
  <c r="F33" i="24"/>
  <c r="G33" i="24"/>
  <c r="I33" i="24" s="1"/>
  <c r="H33" i="24"/>
  <c r="A34" i="24"/>
  <c r="B34" i="24"/>
  <c r="E34" i="24"/>
  <c r="F34" i="24"/>
  <c r="G34" i="24"/>
  <c r="I34" i="24" s="1"/>
  <c r="H34" i="24"/>
  <c r="A35" i="24"/>
  <c r="B35" i="24"/>
  <c r="E35" i="24"/>
  <c r="F35" i="24"/>
  <c r="G35" i="24"/>
  <c r="I35" i="24" s="1"/>
  <c r="H35" i="24"/>
  <c r="A36" i="24"/>
  <c r="B36" i="24"/>
  <c r="E36" i="24"/>
  <c r="F36" i="24"/>
  <c r="G36" i="24"/>
  <c r="I36" i="24" s="1"/>
  <c r="H36" i="24"/>
  <c r="A37" i="24"/>
  <c r="B37" i="24"/>
  <c r="E37" i="24"/>
  <c r="F37" i="24"/>
  <c r="G37" i="24"/>
  <c r="I37" i="24" s="1"/>
  <c r="H37" i="24"/>
  <c r="A38" i="24"/>
  <c r="B38" i="24"/>
  <c r="E38" i="24"/>
  <c r="F38" i="24"/>
  <c r="G38" i="24"/>
  <c r="I38" i="24" s="1"/>
  <c r="H38" i="24"/>
  <c r="A39" i="24"/>
  <c r="B39" i="24"/>
  <c r="E39" i="24"/>
  <c r="F39" i="24"/>
  <c r="G39" i="24"/>
  <c r="I39" i="24" s="1"/>
  <c r="H39" i="24"/>
  <c r="A40" i="24"/>
  <c r="B40" i="24"/>
  <c r="E40" i="24"/>
  <c r="F40" i="24"/>
  <c r="G40" i="24"/>
  <c r="I40" i="24" s="1"/>
  <c r="H40" i="24"/>
  <c r="A41" i="24"/>
  <c r="B41" i="24"/>
  <c r="E41" i="24"/>
  <c r="F41" i="24"/>
  <c r="G41" i="24"/>
  <c r="I41" i="24" s="1"/>
  <c r="H41" i="24"/>
  <c r="A42" i="24"/>
  <c r="B42" i="24"/>
  <c r="E42" i="24"/>
  <c r="F42" i="24"/>
  <c r="G42" i="24"/>
  <c r="I42" i="24" s="1"/>
  <c r="H42" i="24"/>
  <c r="A43" i="24"/>
  <c r="B43" i="24"/>
  <c r="E43" i="24"/>
  <c r="F43" i="24"/>
  <c r="G43" i="24"/>
  <c r="I43" i="24" s="1"/>
  <c r="H43" i="24"/>
  <c r="A44" i="24"/>
  <c r="B44" i="24"/>
  <c r="E44" i="24"/>
  <c r="F44" i="24"/>
  <c r="G44" i="24"/>
  <c r="I44" i="24" s="1"/>
  <c r="H44" i="24"/>
  <c r="A45" i="24"/>
  <c r="B45" i="24"/>
  <c r="E45" i="24"/>
  <c r="F45" i="24"/>
  <c r="G45" i="24"/>
  <c r="I45" i="24" s="1"/>
  <c r="H45" i="24"/>
  <c r="A46" i="24"/>
  <c r="B46" i="24"/>
  <c r="E46" i="24"/>
  <c r="F46" i="24"/>
  <c r="G46" i="24"/>
  <c r="I46" i="24" s="1"/>
  <c r="H46" i="24"/>
  <c r="A47" i="24"/>
  <c r="B47" i="24"/>
  <c r="E47" i="24"/>
  <c r="F47" i="24"/>
  <c r="G47" i="24"/>
  <c r="I47" i="24" s="1"/>
  <c r="H47" i="24"/>
  <c r="A48" i="24"/>
  <c r="B48" i="24"/>
  <c r="E48" i="24"/>
  <c r="F48" i="24"/>
  <c r="G48" i="24"/>
  <c r="I48" i="24" s="1"/>
  <c r="H48" i="24"/>
  <c r="A49" i="24"/>
  <c r="B49" i="24"/>
  <c r="E49" i="24"/>
  <c r="F49" i="24"/>
  <c r="G49" i="24"/>
  <c r="I49" i="24" s="1"/>
  <c r="H49" i="24"/>
  <c r="A50" i="24"/>
  <c r="B50" i="24"/>
  <c r="E50" i="24"/>
  <c r="F50" i="24"/>
  <c r="G50" i="24"/>
  <c r="I50" i="24" s="1"/>
  <c r="H50" i="24"/>
  <c r="A51" i="24"/>
  <c r="B51" i="24"/>
  <c r="E51" i="24"/>
  <c r="F51" i="24"/>
  <c r="G51" i="24"/>
  <c r="I51" i="24" s="1"/>
  <c r="H51" i="24"/>
  <c r="A52" i="24"/>
  <c r="B52" i="24"/>
  <c r="E52" i="24"/>
  <c r="F52" i="24"/>
  <c r="G52" i="24"/>
  <c r="I52" i="24" s="1"/>
  <c r="H52" i="24"/>
  <c r="A53" i="24"/>
  <c r="B53" i="24"/>
  <c r="E53" i="24"/>
  <c r="F53" i="24"/>
  <c r="G53" i="24"/>
  <c r="I53" i="24" s="1"/>
  <c r="H53" i="24"/>
  <c r="A54" i="24"/>
  <c r="B54" i="24"/>
  <c r="E54" i="24"/>
  <c r="F54" i="24"/>
  <c r="G54" i="24"/>
  <c r="I54" i="24" s="1"/>
  <c r="H54" i="24"/>
  <c r="A55" i="24"/>
  <c r="B55" i="24"/>
  <c r="E55" i="24"/>
  <c r="F55" i="24"/>
  <c r="G55" i="24"/>
  <c r="I55" i="24" s="1"/>
  <c r="H55" i="24"/>
  <c r="A4" i="2"/>
  <c r="E43" i="22"/>
  <c r="F42" i="22"/>
  <c r="F43" i="22"/>
  <c r="F35" i="22"/>
  <c r="E35" i="22"/>
  <c r="E27" i="22"/>
  <c r="F27" i="22"/>
  <c r="G3" i="22"/>
  <c r="AB25" i="23"/>
  <c r="AB26" i="23"/>
  <c r="AB27" i="23"/>
  <c r="AB28" i="23"/>
  <c r="AB29" i="23"/>
  <c r="AB30" i="23"/>
  <c r="AB31" i="23"/>
  <c r="AB32" i="23"/>
  <c r="AB33" i="23"/>
  <c r="AB34" i="23"/>
  <c r="AB24" i="23"/>
  <c r="AA26" i="23"/>
  <c r="Z27" i="23" s="1"/>
  <c r="AA27" i="23"/>
  <c r="Z28" i="23"/>
  <c r="AA28" i="23"/>
  <c r="Z29" i="23" s="1"/>
  <c r="AA29" i="23"/>
  <c r="Z30" i="23"/>
  <c r="AA30" i="23"/>
  <c r="Z31" i="23" s="1"/>
  <c r="AA31" i="23"/>
  <c r="Z32" i="23"/>
  <c r="AA32" i="23"/>
  <c r="Z33" i="23" s="1"/>
  <c r="AA33" i="23"/>
  <c r="Z34" i="23"/>
  <c r="AA25" i="23"/>
  <c r="Z26" i="23" s="1"/>
  <c r="AA24" i="23"/>
  <c r="Z25" i="23"/>
  <c r="M67" i="8"/>
  <c r="K79" i="8"/>
  <c r="L2" i="7"/>
  <c r="U6" i="7" s="1"/>
  <c r="B3" i="7"/>
  <c r="E2" i="6"/>
  <c r="E3" i="6"/>
  <c r="E4" i="6"/>
  <c r="E5" i="6"/>
  <c r="E6" i="6"/>
  <c r="E7" i="6"/>
  <c r="C1" i="8" s="1"/>
  <c r="E31" i="8" s="1"/>
  <c r="H31" i="8" s="1"/>
  <c r="B16" i="2"/>
  <c r="B17" i="2"/>
  <c r="A1" i="5"/>
  <c r="A68" i="5" s="1"/>
  <c r="A7" i="5"/>
  <c r="A73" i="5" s="1"/>
  <c r="C73" i="5"/>
  <c r="D73" i="5"/>
  <c r="A71" i="5"/>
  <c r="A72" i="5"/>
  <c r="B72" i="5"/>
  <c r="C72" i="5"/>
  <c r="D72" i="5"/>
  <c r="E72" i="5"/>
  <c r="G72" i="5"/>
  <c r="M31" i="7"/>
  <c r="M54" i="7"/>
  <c r="N35" i="7"/>
  <c r="N56" i="7"/>
  <c r="N50" i="7"/>
  <c r="N33" i="7"/>
  <c r="M29" i="7"/>
  <c r="M59" i="7"/>
  <c r="M55" i="7"/>
  <c r="N47" i="7"/>
  <c r="N45" i="7"/>
  <c r="M38" i="7"/>
  <c r="N36" i="7"/>
  <c r="M28" i="7"/>
  <c r="N24" i="7"/>
  <c r="N17" i="7"/>
  <c r="H56" i="7"/>
  <c r="H14" i="7"/>
  <c r="M17" i="7"/>
  <c r="N18" i="7"/>
  <c r="N21" i="7"/>
  <c r="M23" i="7"/>
  <c r="N27" i="7"/>
  <c r="N28" i="7"/>
  <c r="N32" i="7"/>
  <c r="M33" i="7"/>
  <c r="M37" i="7"/>
  <c r="N39" i="7"/>
  <c r="N43" i="7"/>
  <c r="N44" i="7"/>
  <c r="M48" i="7"/>
  <c r="N49" i="7"/>
  <c r="M53" i="7"/>
  <c r="N55" i="7"/>
  <c r="N59" i="7"/>
  <c r="N60" i="7"/>
  <c r="M62" i="7"/>
  <c r="N48" i="7"/>
  <c r="N15" i="7"/>
  <c r="H49" i="7"/>
  <c r="H17" i="7"/>
  <c r="P17" i="7" s="1"/>
  <c r="H36" i="7"/>
  <c r="K36" i="7" s="1"/>
  <c r="V36" i="7" s="1"/>
  <c r="H59" i="7"/>
  <c r="Q59" i="7" s="1"/>
  <c r="H9" i="7"/>
  <c r="Q9" i="7" s="1"/>
  <c r="H53" i="7"/>
  <c r="P53" i="7" s="1"/>
  <c r="H13" i="7"/>
  <c r="P13" i="7" s="1"/>
  <c r="H55" i="7"/>
  <c r="H31" i="7"/>
  <c r="S31" i="7" s="1"/>
  <c r="H44" i="7"/>
  <c r="R44" i="7" s="1"/>
  <c r="H26" i="7"/>
  <c r="L26" i="7" s="1"/>
  <c r="U62" i="7"/>
  <c r="W62" i="7" s="1"/>
  <c r="E11" i="22"/>
  <c r="E13" i="22"/>
  <c r="E9" i="22"/>
  <c r="E7" i="22"/>
  <c r="H23" i="7" l="1"/>
  <c r="L23" i="7" s="1"/>
  <c r="E8" i="8"/>
  <c r="E17" i="8"/>
  <c r="E11" i="8"/>
  <c r="I11" i="8" s="1"/>
  <c r="E14" i="8"/>
  <c r="H14" i="8" s="1"/>
  <c r="E45" i="8"/>
  <c r="H19" i="7"/>
  <c r="T19" i="7" s="1"/>
  <c r="H28" i="7"/>
  <c r="O28" i="7" s="1"/>
  <c r="H52" i="7"/>
  <c r="S52" i="7" s="1"/>
  <c r="H16" i="7"/>
  <c r="H39" i="7"/>
  <c r="O39" i="7" s="1"/>
  <c r="H40" i="7"/>
  <c r="R40" i="7" s="1"/>
  <c r="H47" i="7"/>
  <c r="L47" i="7" s="1"/>
  <c r="H18" i="7"/>
  <c r="L18" i="7" s="1"/>
  <c r="H29" i="7"/>
  <c r="H60" i="7"/>
  <c r="Q60" i="7" s="1"/>
  <c r="H25" i="7"/>
  <c r="K25" i="7" s="1"/>
  <c r="U25" i="7" s="1"/>
  <c r="H32" i="7"/>
  <c r="K32" i="7" s="1"/>
  <c r="H43" i="7"/>
  <c r="T43" i="7" s="1"/>
  <c r="S25" i="7"/>
  <c r="E13" i="8"/>
  <c r="H13" i="8" s="1"/>
  <c r="E43" i="8"/>
  <c r="H43" i="8" s="1"/>
  <c r="J43" i="8" s="1"/>
  <c r="E49" i="8"/>
  <c r="I49" i="8" s="1"/>
  <c r="E20" i="8"/>
  <c r="I20" i="8" s="1"/>
  <c r="E24" i="8"/>
  <c r="H24" i="8" s="1"/>
  <c r="L24" i="8" s="1"/>
  <c r="E10" i="8"/>
  <c r="I10" i="8" s="1"/>
  <c r="R19" i="7"/>
  <c r="Q39" i="7"/>
  <c r="N13" i="7"/>
  <c r="Q19" i="7"/>
  <c r="T31" i="7"/>
  <c r="L31" i="8"/>
  <c r="J31" i="8"/>
  <c r="K31" i="8"/>
  <c r="O31" i="8" s="1"/>
  <c r="E46" i="8"/>
  <c r="E52" i="8"/>
  <c r="E26" i="8"/>
  <c r="E21" i="8"/>
  <c r="H21" i="8" s="1"/>
  <c r="L21" i="8" s="1"/>
  <c r="E53" i="8"/>
  <c r="E22" i="8"/>
  <c r="E19" i="8"/>
  <c r="E51" i="8"/>
  <c r="E44" i="8"/>
  <c r="E34" i="8"/>
  <c r="E25" i="8"/>
  <c r="H25" i="8" s="1"/>
  <c r="E56" i="8"/>
  <c r="I56" i="8" s="1"/>
  <c r="K39" i="7"/>
  <c r="U39" i="7" s="1"/>
  <c r="T36" i="7"/>
  <c r="K26" i="7"/>
  <c r="V26" i="7" s="1"/>
  <c r="E15" i="8"/>
  <c r="E30" i="8"/>
  <c r="E29" i="8"/>
  <c r="E58" i="8"/>
  <c r="E33" i="8"/>
  <c r="R26" i="7"/>
  <c r="E47" i="8"/>
  <c r="E40" i="8"/>
  <c r="H40" i="8" s="1"/>
  <c r="H10" i="8"/>
  <c r="J10" i="8" s="1"/>
  <c r="E32" i="8"/>
  <c r="E42" i="8"/>
  <c r="E60" i="8"/>
  <c r="E38" i="8"/>
  <c r="E27" i="8"/>
  <c r="E16" i="8"/>
  <c r="E50" i="8"/>
  <c r="E48" i="8"/>
  <c r="I48" i="8" s="1"/>
  <c r="E59" i="8"/>
  <c r="I59" i="8" s="1"/>
  <c r="E37" i="8"/>
  <c r="E12" i="8"/>
  <c r="E54" i="8"/>
  <c r="I54" i="8" s="1"/>
  <c r="E35" i="8"/>
  <c r="E57" i="8"/>
  <c r="H57" i="8" s="1"/>
  <c r="E9" i="8"/>
  <c r="E41" i="8"/>
  <c r="O19" i="7"/>
  <c r="T39" i="7"/>
  <c r="S19" i="7"/>
  <c r="O13" i="7"/>
  <c r="P23" i="7"/>
  <c r="O23" i="7"/>
  <c r="Q43" i="7"/>
  <c r="L17" i="7"/>
  <c r="L13" i="7"/>
  <c r="R31" i="7"/>
  <c r="P32" i="7"/>
  <c r="T59" i="7"/>
  <c r="R13" i="7"/>
  <c r="K23" i="7"/>
  <c r="V23" i="7" s="1"/>
  <c r="R23" i="7"/>
  <c r="P44" i="7"/>
  <c r="L36" i="7"/>
  <c r="K44" i="7"/>
  <c r="V44" i="7" s="1"/>
  <c r="M9" i="7"/>
  <c r="U32" i="7"/>
  <c r="V32" i="7"/>
  <c r="L14" i="7"/>
  <c r="S14" i="7"/>
  <c r="T14" i="7"/>
  <c r="K14" i="7"/>
  <c r="R14" i="7"/>
  <c r="P14" i="7"/>
  <c r="L29" i="7"/>
  <c r="P29" i="7"/>
  <c r="O29" i="7"/>
  <c r="K29" i="7"/>
  <c r="Q29" i="7"/>
  <c r="L49" i="7"/>
  <c r="P49" i="7"/>
  <c r="S49" i="7"/>
  <c r="P56" i="7"/>
  <c r="O56" i="7"/>
  <c r="P35" i="7"/>
  <c r="O35" i="7"/>
  <c r="T35" i="7"/>
  <c r="S35" i="7"/>
  <c r="K35" i="7"/>
  <c r="L35" i="7"/>
  <c r="O53" i="7"/>
  <c r="R29" i="7"/>
  <c r="U26" i="7"/>
  <c r="O55" i="7"/>
  <c r="R55" i="7"/>
  <c r="Q55" i="7"/>
  <c r="Q53" i="7"/>
  <c r="K53" i="7"/>
  <c r="T53" i="7"/>
  <c r="P43" i="7"/>
  <c r="R43" i="7"/>
  <c r="O43" i="7"/>
  <c r="K43" i="7"/>
  <c r="V43" i="7" s="1"/>
  <c r="R53" i="7"/>
  <c r="T29" i="7"/>
  <c r="S53" i="7"/>
  <c r="T44" i="7"/>
  <c r="X44" i="7" s="1"/>
  <c r="O44" i="7"/>
  <c r="Q44" i="7"/>
  <c r="S44" i="7"/>
  <c r="S17" i="7"/>
  <c r="O17" i="7"/>
  <c r="T17" i="7"/>
  <c r="Q17" i="7"/>
  <c r="R17" i="7"/>
  <c r="K17" i="7"/>
  <c r="R35" i="7"/>
  <c r="K47" i="7"/>
  <c r="V47" i="7" s="1"/>
  <c r="L32" i="7"/>
  <c r="K9" i="7"/>
  <c r="P39" i="7"/>
  <c r="R9" i="7"/>
  <c r="L19" i="7"/>
  <c r="P36" i="7"/>
  <c r="S36" i="7"/>
  <c r="Q13" i="7"/>
  <c r="M13" i="7"/>
  <c r="P26" i="7"/>
  <c r="S26" i="7"/>
  <c r="T23" i="7"/>
  <c r="H12" i="7"/>
  <c r="N12" i="7" s="1"/>
  <c r="H33" i="7"/>
  <c r="T33" i="7" s="1"/>
  <c r="H15" i="7"/>
  <c r="R15" i="7" s="1"/>
  <c r="H48" i="7"/>
  <c r="L48" i="7" s="1"/>
  <c r="H21" i="7"/>
  <c r="S21" i="7" s="1"/>
  <c r="H38" i="7"/>
  <c r="S38" i="7" s="1"/>
  <c r="H34" i="7"/>
  <c r="L34" i="7" s="1"/>
  <c r="H58" i="7"/>
  <c r="T58" i="7" s="1"/>
  <c r="H11" i="7"/>
  <c r="R11" i="7" s="1"/>
  <c r="H20" i="7"/>
  <c r="P19" i="7"/>
  <c r="K18" i="7"/>
  <c r="U18" i="7" s="1"/>
  <c r="S39" i="7"/>
  <c r="L39" i="7"/>
  <c r="L9" i="7"/>
  <c r="O52" i="7"/>
  <c r="O36" i="7"/>
  <c r="Q36" i="7"/>
  <c r="S13" i="7"/>
  <c r="T13" i="7"/>
  <c r="O26" i="7"/>
  <c r="T26" i="7"/>
  <c r="Q23" i="7"/>
  <c r="H24" i="7"/>
  <c r="P24" i="7" s="1"/>
  <c r="H46" i="7"/>
  <c r="K46" i="7" s="1"/>
  <c r="H27" i="7"/>
  <c r="K27" i="7" s="1"/>
  <c r="H10" i="7"/>
  <c r="M10" i="7" s="1"/>
  <c r="H57" i="7"/>
  <c r="P57" i="7" s="1"/>
  <c r="H42" i="7"/>
  <c r="L42" i="7" s="1"/>
  <c r="H41" i="7"/>
  <c r="L41" i="7" s="1"/>
  <c r="H37" i="7"/>
  <c r="H22" i="7"/>
  <c r="O22" i="7" s="1"/>
  <c r="H54" i="7"/>
  <c r="O54" i="7" s="1"/>
  <c r="H45" i="7"/>
  <c r="Q45" i="7" s="1"/>
  <c r="H51" i="7"/>
  <c r="T51" i="7" s="1"/>
  <c r="H50" i="7"/>
  <c r="O50" i="7" s="1"/>
  <c r="H8" i="7"/>
  <c r="O8" i="7" s="1"/>
  <c r="H30" i="7"/>
  <c r="T30" i="7" s="1"/>
  <c r="H12" i="8"/>
  <c r="L12" i="8" s="1"/>
  <c r="I12" i="8"/>
  <c r="Q16" i="7"/>
  <c r="T16" i="7"/>
  <c r="O16" i="7"/>
  <c r="S16" i="7"/>
  <c r="I8" i="8"/>
  <c r="H8" i="8"/>
  <c r="H17" i="8"/>
  <c r="J17" i="8" s="1"/>
  <c r="I17" i="8"/>
  <c r="U36" i="7"/>
  <c r="R39" i="7"/>
  <c r="S9" i="7"/>
  <c r="K19" i="7"/>
  <c r="R36" i="7"/>
  <c r="P59" i="7"/>
  <c r="L53" i="7"/>
  <c r="K13" i="7"/>
  <c r="L44" i="7"/>
  <c r="Q26" i="7"/>
  <c r="S23" i="7"/>
  <c r="I31" i="8"/>
  <c r="T56" i="7"/>
  <c r="K56" i="7"/>
  <c r="I43" i="8"/>
  <c r="P31" i="7"/>
  <c r="L31" i="7"/>
  <c r="S56" i="7"/>
  <c r="L56" i="7"/>
  <c r="R56" i="7"/>
  <c r="Q56" i="7"/>
  <c r="P6" i="1"/>
  <c r="Q6" i="1" s="1"/>
  <c r="F50" i="5"/>
  <c r="F116" i="5" s="1"/>
  <c r="F43" i="5"/>
  <c r="F109" i="5" s="1"/>
  <c r="F18" i="5"/>
  <c r="F84" i="5" s="1"/>
  <c r="F14" i="5"/>
  <c r="F80" i="5" s="1"/>
  <c r="Q64" i="1"/>
  <c r="P64" i="1"/>
  <c r="Q56" i="1"/>
  <c r="R56" i="1" s="1"/>
  <c r="P56" i="1"/>
  <c r="Q52" i="1"/>
  <c r="T52" i="1" s="1"/>
  <c r="P52" i="1"/>
  <c r="Q44" i="1"/>
  <c r="X44" i="1" s="1"/>
  <c r="H45" i="5" s="1"/>
  <c r="P44" i="1"/>
  <c r="Q36" i="1"/>
  <c r="R36" i="1" s="1"/>
  <c r="S36" i="1" s="1"/>
  <c r="P36" i="1"/>
  <c r="Q27" i="1"/>
  <c r="V27" i="1" s="1"/>
  <c r="P27" i="1"/>
  <c r="Q19" i="1"/>
  <c r="V19" i="1" s="1"/>
  <c r="P19" i="1"/>
  <c r="Q11" i="1"/>
  <c r="X11" i="1" s="1"/>
  <c r="H12" i="5" s="1"/>
  <c r="P11" i="1"/>
  <c r="Q63" i="1"/>
  <c r="P63" i="1"/>
  <c r="Q55" i="1"/>
  <c r="V55" i="1" s="1"/>
  <c r="P55" i="1"/>
  <c r="Q47" i="1"/>
  <c r="T47" i="1" s="1"/>
  <c r="P47" i="1"/>
  <c r="Q39" i="1"/>
  <c r="T39" i="1" s="1"/>
  <c r="P39" i="1"/>
  <c r="Q14" i="1"/>
  <c r="R14" i="1" s="1"/>
  <c r="S14" i="1" s="1"/>
  <c r="P14" i="1"/>
  <c r="Q62" i="1"/>
  <c r="P62" i="1"/>
  <c r="Q58" i="1"/>
  <c r="V58" i="1" s="1"/>
  <c r="P58" i="1"/>
  <c r="Q54" i="1"/>
  <c r="X54" i="1" s="1"/>
  <c r="H55" i="5" s="1"/>
  <c r="P54" i="1"/>
  <c r="Q50" i="1"/>
  <c r="V50" i="1" s="1"/>
  <c r="P50" i="1"/>
  <c r="Q46" i="1"/>
  <c r="T46" i="1" s="1"/>
  <c r="P46" i="1"/>
  <c r="Q29" i="1"/>
  <c r="R29" i="1" s="1"/>
  <c r="S29" i="1" s="1"/>
  <c r="P29" i="1"/>
  <c r="Q25" i="1"/>
  <c r="T25" i="1" s="1"/>
  <c r="P25" i="1"/>
  <c r="Q21" i="1"/>
  <c r="V21" i="1" s="1"/>
  <c r="P21" i="1"/>
  <c r="Q17" i="1"/>
  <c r="X17" i="1" s="1"/>
  <c r="H18" i="5" s="1"/>
  <c r="P17" i="1"/>
  <c r="Q13" i="1"/>
  <c r="V13" i="1" s="1"/>
  <c r="P13" i="1"/>
  <c r="Q9" i="1"/>
  <c r="R9" i="1" s="1"/>
  <c r="S9" i="1" s="1"/>
  <c r="P9" i="1"/>
  <c r="Q60" i="1"/>
  <c r="R60" i="1" s="1"/>
  <c r="S60" i="1" s="1"/>
  <c r="P60" i="1"/>
  <c r="Q48" i="1"/>
  <c r="X48" i="1" s="1"/>
  <c r="H49" i="5" s="1"/>
  <c r="P48" i="1"/>
  <c r="Q40" i="1"/>
  <c r="R40" i="1" s="1"/>
  <c r="P40" i="1"/>
  <c r="Q32" i="1"/>
  <c r="R32" i="1" s="1"/>
  <c r="S32" i="1" s="1"/>
  <c r="P32" i="1"/>
  <c r="Q23" i="1"/>
  <c r="T23" i="1" s="1"/>
  <c r="P23" i="1"/>
  <c r="Q15" i="1"/>
  <c r="T15" i="1" s="1"/>
  <c r="P15" i="1"/>
  <c r="Q7" i="1"/>
  <c r="R7" i="1" s="1"/>
  <c r="S7" i="1" s="1"/>
  <c r="P7" i="1"/>
  <c r="Q59" i="1"/>
  <c r="X59" i="1" s="1"/>
  <c r="H60" i="5" s="1"/>
  <c r="P59" i="1"/>
  <c r="Q51" i="1"/>
  <c r="V51" i="1" s="1"/>
  <c r="P51" i="1"/>
  <c r="Q43" i="1"/>
  <c r="X43" i="1" s="1"/>
  <c r="H44" i="5" s="1"/>
  <c r="P43" i="1"/>
  <c r="Q35" i="1"/>
  <c r="T35" i="1" s="1"/>
  <c r="P35" i="1"/>
  <c r="Q31" i="1"/>
  <c r="T31" i="1" s="1"/>
  <c r="P31" i="1"/>
  <c r="Q61" i="1"/>
  <c r="P61" i="1"/>
  <c r="Q57" i="1"/>
  <c r="V57" i="1" s="1"/>
  <c r="P57" i="1"/>
  <c r="Q53" i="1"/>
  <c r="V53" i="1" s="1"/>
  <c r="P53" i="1"/>
  <c r="Q49" i="1"/>
  <c r="X49" i="1" s="1"/>
  <c r="H50" i="5" s="1"/>
  <c r="P49" i="1"/>
  <c r="Q45" i="1"/>
  <c r="T45" i="1" s="1"/>
  <c r="P45" i="1"/>
  <c r="Q41" i="1"/>
  <c r="R41" i="1" s="1"/>
  <c r="S41" i="1" s="1"/>
  <c r="P41" i="1"/>
  <c r="Q37" i="1"/>
  <c r="T37" i="1" s="1"/>
  <c r="P37" i="1"/>
  <c r="Q33" i="1"/>
  <c r="X33" i="1" s="1"/>
  <c r="H34" i="5" s="1"/>
  <c r="P33" i="1"/>
  <c r="Q28" i="1"/>
  <c r="R28" i="1" s="1"/>
  <c r="S28" i="1" s="1"/>
  <c r="P28" i="1"/>
  <c r="Q24" i="1"/>
  <c r="X24" i="1" s="1"/>
  <c r="H25" i="5" s="1"/>
  <c r="P24" i="1"/>
  <c r="Q20" i="1"/>
  <c r="R20" i="1" s="1"/>
  <c r="P20" i="1"/>
  <c r="Q16" i="1"/>
  <c r="R16" i="1" s="1"/>
  <c r="P16" i="1"/>
  <c r="Q12" i="1"/>
  <c r="R12" i="1" s="1"/>
  <c r="P12" i="1"/>
  <c r="Q8" i="1"/>
  <c r="P8" i="1"/>
  <c r="F58" i="5"/>
  <c r="F124" i="5" s="1"/>
  <c r="F51" i="5"/>
  <c r="F117" i="5" s="1"/>
  <c r="F42" i="5"/>
  <c r="F108" i="5" s="1"/>
  <c r="F25" i="5"/>
  <c r="F91" i="5" s="1"/>
  <c r="F59" i="5"/>
  <c r="F125" i="5" s="1"/>
  <c r="F35" i="5"/>
  <c r="F101" i="5" s="1"/>
  <c r="F17" i="5"/>
  <c r="F83" i="5" s="1"/>
  <c r="B15" i="2"/>
  <c r="F37" i="5"/>
  <c r="F103" i="5" s="1"/>
  <c r="F21" i="5"/>
  <c r="F87" i="5" s="1"/>
  <c r="F22" i="5"/>
  <c r="F88" i="5" s="1"/>
  <c r="F29" i="5"/>
  <c r="F95" i="5" s="1"/>
  <c r="F13" i="5"/>
  <c r="F79" i="5" s="1"/>
  <c r="F60" i="5"/>
  <c r="F126" i="5" s="1"/>
  <c r="C54" i="24"/>
  <c r="F55" i="5"/>
  <c r="F121" i="5" s="1"/>
  <c r="F53" i="5"/>
  <c r="F119" i="5" s="1"/>
  <c r="C47" i="24"/>
  <c r="F46" i="5"/>
  <c r="F112" i="5" s="1"/>
  <c r="F44" i="5"/>
  <c r="F110" i="5" s="1"/>
  <c r="C38" i="24"/>
  <c r="F39" i="5"/>
  <c r="F105" i="5" s="1"/>
  <c r="F8" i="5"/>
  <c r="F74" i="5" s="1"/>
  <c r="F30" i="5"/>
  <c r="F96" i="5" s="1"/>
  <c r="C24" i="24"/>
  <c r="F27" i="5"/>
  <c r="F93" i="5" s="1"/>
  <c r="F19" i="5"/>
  <c r="F85" i="5" s="1"/>
  <c r="F11" i="5"/>
  <c r="F77" i="5" s="1"/>
  <c r="F57" i="5"/>
  <c r="F123" i="5" s="1"/>
  <c r="C51" i="24"/>
  <c r="F48" i="5"/>
  <c r="F114" i="5" s="1"/>
  <c r="C42" i="24"/>
  <c r="F41" i="5"/>
  <c r="F107" i="5" s="1"/>
  <c r="C35" i="24"/>
  <c r="F34" i="5"/>
  <c r="F100" i="5" s="1"/>
  <c r="C28" i="24"/>
  <c r="F32" i="5"/>
  <c r="F98" i="5" s="1"/>
  <c r="C26" i="24"/>
  <c r="F16" i="5"/>
  <c r="F82" i="5" s="1"/>
  <c r="C10" i="24"/>
  <c r="F7" i="5"/>
  <c r="F73" i="5" s="1"/>
  <c r="C1" i="24"/>
  <c r="F61" i="5"/>
  <c r="F127" i="5" s="1"/>
  <c r="C55" i="24"/>
  <c r="F54" i="5"/>
  <c r="F120" i="5" s="1"/>
  <c r="F52" i="5"/>
  <c r="F118" i="5" s="1"/>
  <c r="C46" i="24"/>
  <c r="F47" i="5"/>
  <c r="F113" i="5" s="1"/>
  <c r="F45" i="5"/>
  <c r="F111" i="5" s="1"/>
  <c r="C39" i="24"/>
  <c r="F38" i="5"/>
  <c r="F104" i="5" s="1"/>
  <c r="C32" i="24"/>
  <c r="F36" i="5"/>
  <c r="F102" i="5" s="1"/>
  <c r="C30" i="24"/>
  <c r="F33" i="5"/>
  <c r="F99" i="5" s="1"/>
  <c r="F31" i="5"/>
  <c r="F97" i="5" s="1"/>
  <c r="F26" i="5"/>
  <c r="F92" i="5" s="1"/>
  <c r="C20" i="24"/>
  <c r="F23" i="5"/>
  <c r="F89" i="5" s="1"/>
  <c r="F15" i="5"/>
  <c r="F81" i="5" s="1"/>
  <c r="F10" i="5"/>
  <c r="F76" i="5" s="1"/>
  <c r="C4" i="24"/>
  <c r="F56" i="5"/>
  <c r="F122" i="5" s="1"/>
  <c r="C50" i="24"/>
  <c r="F49" i="5"/>
  <c r="F115" i="5" s="1"/>
  <c r="C43" i="24"/>
  <c r="F40" i="5"/>
  <c r="F106" i="5" s="1"/>
  <c r="C34" i="24"/>
  <c r="F28" i="5"/>
  <c r="F94" i="5" s="1"/>
  <c r="C22" i="24"/>
  <c r="F9" i="5"/>
  <c r="F75" i="5" s="1"/>
  <c r="E8" i="22"/>
  <c r="E10" i="22" s="1"/>
  <c r="E12" i="22" s="1"/>
  <c r="J13" i="8"/>
  <c r="K13" i="8"/>
  <c r="O13" i="8" s="1"/>
  <c r="L13" i="8"/>
  <c r="I57" i="8"/>
  <c r="J40" i="8"/>
  <c r="K40" i="8"/>
  <c r="O40" i="8" s="1"/>
  <c r="L40" i="8"/>
  <c r="I13" i="8"/>
  <c r="I14" i="8"/>
  <c r="I45" i="8"/>
  <c r="H45" i="8"/>
  <c r="K43" i="8"/>
  <c r="O43" i="8" s="1"/>
  <c r="L43" i="8"/>
  <c r="K31" i="7"/>
  <c r="Q31" i="7"/>
  <c r="K55" i="7"/>
  <c r="T55" i="7"/>
  <c r="S55" i="7"/>
  <c r="L55" i="7"/>
  <c r="Q32" i="7"/>
  <c r="R32" i="7"/>
  <c r="O32" i="7"/>
  <c r="P9" i="7"/>
  <c r="T9" i="7"/>
  <c r="O9" i="7"/>
  <c r="N9" i="7"/>
  <c r="O59" i="7"/>
  <c r="L59" i="7"/>
  <c r="R59" i="7"/>
  <c r="K59" i="7"/>
  <c r="V59" i="7" s="1"/>
  <c r="U61" i="7"/>
  <c r="O49" i="7"/>
  <c r="K49" i="7"/>
  <c r="R49" i="7"/>
  <c r="T49" i="7"/>
  <c r="Q49" i="7"/>
  <c r="Q14" i="7"/>
  <c r="O14" i="7"/>
  <c r="E28" i="8"/>
  <c r="E36" i="8"/>
  <c r="E18" i="8"/>
  <c r="E23" i="8"/>
  <c r="E39" i="8"/>
  <c r="E55" i="8"/>
  <c r="O31" i="7"/>
  <c r="S59" i="7"/>
  <c r="S32" i="7"/>
  <c r="P55" i="7"/>
  <c r="I40" i="8"/>
  <c r="P16" i="7"/>
  <c r="L16" i="7"/>
  <c r="R16" i="7"/>
  <c r="K16" i="7"/>
  <c r="T18" i="7"/>
  <c r="R18" i="7"/>
  <c r="P18" i="7"/>
  <c r="Q18" i="7"/>
  <c r="N14" i="7"/>
  <c r="N58" i="7"/>
  <c r="M44" i="7"/>
  <c r="M60" i="7"/>
  <c r="M42" i="7"/>
  <c r="M25" i="7"/>
  <c r="M57" i="7"/>
  <c r="M49" i="7"/>
  <c r="N41" i="7"/>
  <c r="N34" i="7"/>
  <c r="M26" i="7"/>
  <c r="M19" i="7"/>
  <c r="M15" i="7"/>
  <c r="M22" i="7"/>
  <c r="N26" i="7"/>
  <c r="N30" i="7"/>
  <c r="M34" i="7"/>
  <c r="N38" i="7"/>
  <c r="N42" i="7"/>
  <c r="M46" i="7"/>
  <c r="N54" i="7"/>
  <c r="M58" i="7"/>
  <c r="N62" i="7"/>
  <c r="X62" i="7" s="1"/>
  <c r="AA60" i="1" s="1"/>
  <c r="K61" i="5" s="1"/>
  <c r="N61" i="7"/>
  <c r="X61" i="7" s="1"/>
  <c r="AA59" i="1" s="1"/>
  <c r="K60" i="5" s="1"/>
  <c r="M61" i="7"/>
  <c r="Q69" i="1"/>
  <c r="Q38" i="1"/>
  <c r="Q30" i="1"/>
  <c r="Q26" i="1"/>
  <c r="Q22" i="1"/>
  <c r="Q18" i="1"/>
  <c r="Q10" i="1"/>
  <c r="S43" i="7"/>
  <c r="S29" i="7"/>
  <c r="N57" i="7"/>
  <c r="N52" i="7"/>
  <c r="M47" i="7"/>
  <c r="M41" i="7"/>
  <c r="M36" i="7"/>
  <c r="N31" i="7"/>
  <c r="N25" i="7"/>
  <c r="N20" i="7"/>
  <c r="M16" i="7"/>
  <c r="M21" i="7"/>
  <c r="M30" i="7"/>
  <c r="M40" i="7"/>
  <c r="M52" i="7"/>
  <c r="N16" i="7"/>
  <c r="N37" i="7"/>
  <c r="M18" i="7"/>
  <c r="N23" i="7"/>
  <c r="M56" i="7"/>
  <c r="M50" i="7"/>
  <c r="M45" i="7"/>
  <c r="N40" i="7"/>
  <c r="M35" i="7"/>
  <c r="N29" i="7"/>
  <c r="M24" i="7"/>
  <c r="N19" i="7"/>
  <c r="M14" i="7"/>
  <c r="N22" i="7"/>
  <c r="M32" i="7"/>
  <c r="M43" i="7"/>
  <c r="N53" i="7"/>
  <c r="M20" i="7"/>
  <c r="N46" i="7"/>
  <c r="M27" i="7"/>
  <c r="M39" i="7"/>
  <c r="Q42" i="1"/>
  <c r="Q34" i="1"/>
  <c r="N61" i="8"/>
  <c r="S60" i="7" l="1"/>
  <c r="P28" i="7"/>
  <c r="Q40" i="7"/>
  <c r="R57" i="7"/>
  <c r="K60" i="7"/>
  <c r="T28" i="7"/>
  <c r="T60" i="7"/>
  <c r="Q28" i="7"/>
  <c r="L28" i="7"/>
  <c r="O40" i="7"/>
  <c r="K40" i="7"/>
  <c r="V40" i="7" s="1"/>
  <c r="K28" i="7"/>
  <c r="U28" i="7" s="1"/>
  <c r="O60" i="7"/>
  <c r="H11" i="8"/>
  <c r="S28" i="7"/>
  <c r="T46" i="7"/>
  <c r="R28" i="7"/>
  <c r="P40" i="7"/>
  <c r="L40" i="7"/>
  <c r="R60" i="7"/>
  <c r="X60" i="7" s="1"/>
  <c r="S57" i="7"/>
  <c r="H49" i="8"/>
  <c r="P52" i="7"/>
  <c r="Q47" i="7"/>
  <c r="L25" i="7"/>
  <c r="L43" i="7"/>
  <c r="X36" i="7"/>
  <c r="V25" i="7"/>
  <c r="H54" i="8"/>
  <c r="O25" i="7"/>
  <c r="O24" i="7"/>
  <c r="H56" i="8"/>
  <c r="I21" i="8"/>
  <c r="K52" i="7"/>
  <c r="V52" i="7" s="1"/>
  <c r="K50" i="7"/>
  <c r="V50" i="7" s="1"/>
  <c r="Q25" i="7"/>
  <c r="W25" i="7" s="1"/>
  <c r="T50" i="7"/>
  <c r="Q52" i="7"/>
  <c r="P47" i="7"/>
  <c r="X47" i="7" s="1"/>
  <c r="R25" i="7"/>
  <c r="L60" i="7"/>
  <c r="T47" i="7"/>
  <c r="S47" i="7"/>
  <c r="O18" i="7"/>
  <c r="S18" i="7"/>
  <c r="X53" i="7"/>
  <c r="R52" i="7"/>
  <c r="T52" i="7"/>
  <c r="L52" i="7"/>
  <c r="R47" i="7"/>
  <c r="P25" i="7"/>
  <c r="T25" i="7"/>
  <c r="P60" i="7"/>
  <c r="S40" i="7"/>
  <c r="T40" i="7"/>
  <c r="O47" i="7"/>
  <c r="T32" i="7"/>
  <c r="X31" i="7"/>
  <c r="AA29" i="1" s="1"/>
  <c r="K30" i="5" s="1"/>
  <c r="R45" i="7"/>
  <c r="S48" i="7"/>
  <c r="T54" i="7"/>
  <c r="O58" i="7"/>
  <c r="K58" i="7"/>
  <c r="V58" i="7" s="1"/>
  <c r="V39" i="7"/>
  <c r="W39" i="7" s="1"/>
  <c r="J24" i="8"/>
  <c r="I25" i="8"/>
  <c r="N31" i="8"/>
  <c r="Q48" i="7"/>
  <c r="K48" i="7"/>
  <c r="V48" i="7" s="1"/>
  <c r="L17" i="8"/>
  <c r="N13" i="8"/>
  <c r="V18" i="7"/>
  <c r="W18" i="7" s="1"/>
  <c r="K24" i="8"/>
  <c r="O24" i="8" s="1"/>
  <c r="U52" i="7"/>
  <c r="H59" i="8"/>
  <c r="K59" i="8" s="1"/>
  <c r="O59" i="8" s="1"/>
  <c r="X23" i="7"/>
  <c r="U44" i="7"/>
  <c r="W44" i="7" s="1"/>
  <c r="N17" i="8"/>
  <c r="X26" i="7"/>
  <c r="X32" i="7"/>
  <c r="H20" i="8"/>
  <c r="I24" i="8"/>
  <c r="X40" i="7"/>
  <c r="X43" i="7"/>
  <c r="AA41" i="1" s="1"/>
  <c r="K42" i="5" s="1"/>
  <c r="S54" i="7"/>
  <c r="P42" i="7"/>
  <c r="U23" i="7"/>
  <c r="W23" i="7" s="1"/>
  <c r="N8" i="7"/>
  <c r="O15" i="7"/>
  <c r="R34" i="7"/>
  <c r="I41" i="8"/>
  <c r="H41" i="8"/>
  <c r="I38" i="8"/>
  <c r="H38" i="8"/>
  <c r="I33" i="8"/>
  <c r="H33" i="8"/>
  <c r="H15" i="8"/>
  <c r="I15" i="8"/>
  <c r="H44" i="8"/>
  <c r="I44" i="8"/>
  <c r="I53" i="8"/>
  <c r="H53" i="8"/>
  <c r="I46" i="8"/>
  <c r="H46" i="8"/>
  <c r="T57" i="7"/>
  <c r="X28" i="7"/>
  <c r="R24" i="7"/>
  <c r="Q50" i="7"/>
  <c r="K24" i="7"/>
  <c r="V24" i="7" s="1"/>
  <c r="T24" i="7"/>
  <c r="X39" i="7"/>
  <c r="O57" i="7"/>
  <c r="L10" i="8"/>
  <c r="N10" i="8" s="1"/>
  <c r="X13" i="7"/>
  <c r="I9" i="8"/>
  <c r="H9" i="8"/>
  <c r="H50" i="8"/>
  <c r="I50" i="8"/>
  <c r="H60" i="8"/>
  <c r="I60" i="8"/>
  <c r="I58" i="8"/>
  <c r="H58" i="8"/>
  <c r="H51" i="8"/>
  <c r="I51" i="8"/>
  <c r="J21" i="8"/>
  <c r="K21" i="8"/>
  <c r="O21" i="8" s="1"/>
  <c r="AA38" i="1"/>
  <c r="K39" i="5" s="1"/>
  <c r="Q57" i="7"/>
  <c r="P50" i="7"/>
  <c r="R50" i="7"/>
  <c r="K17" i="8"/>
  <c r="O17" i="8" s="1"/>
  <c r="U47" i="7"/>
  <c r="H48" i="8"/>
  <c r="H37" i="8"/>
  <c r="I37" i="8"/>
  <c r="I16" i="8"/>
  <c r="H16" i="8"/>
  <c r="I42" i="8"/>
  <c r="H42" i="8"/>
  <c r="I47" i="8"/>
  <c r="H47" i="8"/>
  <c r="H29" i="8"/>
  <c r="I29" i="8"/>
  <c r="I19" i="8"/>
  <c r="H19" i="8"/>
  <c r="H26" i="8"/>
  <c r="I26" i="8"/>
  <c r="L57" i="7"/>
  <c r="S50" i="7"/>
  <c r="L50" i="7"/>
  <c r="N43" i="8"/>
  <c r="K57" i="7"/>
  <c r="V57" i="7" s="1"/>
  <c r="K10" i="8"/>
  <c r="O10" i="8" s="1"/>
  <c r="H35" i="8"/>
  <c r="I35" i="8"/>
  <c r="H27" i="8"/>
  <c r="I27" i="8"/>
  <c r="I32" i="8"/>
  <c r="H32" i="8"/>
  <c r="H30" i="8"/>
  <c r="I30" i="8"/>
  <c r="H34" i="8"/>
  <c r="I34" i="8"/>
  <c r="I22" i="8"/>
  <c r="H22" i="8"/>
  <c r="H52" i="8"/>
  <c r="I52" i="8"/>
  <c r="M11" i="7"/>
  <c r="X49" i="7"/>
  <c r="P12" i="7"/>
  <c r="W26" i="7"/>
  <c r="T34" i="7"/>
  <c r="P54" i="7"/>
  <c r="Q34" i="7"/>
  <c r="Q42" i="7"/>
  <c r="L46" i="7"/>
  <c r="AA11" i="1"/>
  <c r="K12" i="5" s="1"/>
  <c r="X56" i="7"/>
  <c r="R8" i="7"/>
  <c r="P48" i="7"/>
  <c r="K54" i="7"/>
  <c r="V54" i="7" s="1"/>
  <c r="O34" i="7"/>
  <c r="X16" i="7"/>
  <c r="S34" i="7"/>
  <c r="Q54" i="7"/>
  <c r="R42" i="7"/>
  <c r="R54" i="7"/>
  <c r="P34" i="7"/>
  <c r="X35" i="7"/>
  <c r="X19" i="7"/>
  <c r="L54" i="7"/>
  <c r="K34" i="7"/>
  <c r="W52" i="7"/>
  <c r="X18" i="7"/>
  <c r="O11" i="7"/>
  <c r="O12" i="7"/>
  <c r="P45" i="7"/>
  <c r="L45" i="7"/>
  <c r="S45" i="7"/>
  <c r="T45" i="7"/>
  <c r="O45" i="7"/>
  <c r="T41" i="7"/>
  <c r="R41" i="7"/>
  <c r="P41" i="7"/>
  <c r="Q41" i="7"/>
  <c r="K41" i="7"/>
  <c r="T27" i="7"/>
  <c r="P27" i="7"/>
  <c r="R27" i="7"/>
  <c r="L27" i="7"/>
  <c r="S27" i="7"/>
  <c r="O27" i="7"/>
  <c r="Q27" i="7"/>
  <c r="L58" i="7"/>
  <c r="S58" i="7"/>
  <c r="U9" i="7"/>
  <c r="V9" i="7"/>
  <c r="X14" i="7"/>
  <c r="O41" i="7"/>
  <c r="S12" i="7"/>
  <c r="Q51" i="7"/>
  <c r="U40" i="7"/>
  <c r="P58" i="7"/>
  <c r="R58" i="7"/>
  <c r="K8" i="7"/>
  <c r="M8" i="7"/>
  <c r="P8" i="7"/>
  <c r="T8" i="7"/>
  <c r="Q8" i="7"/>
  <c r="L8" i="7"/>
  <c r="S8" i="7"/>
  <c r="T42" i="7"/>
  <c r="O42" i="7"/>
  <c r="S42" i="7"/>
  <c r="K42" i="7"/>
  <c r="S46" i="7"/>
  <c r="R46" i="7"/>
  <c r="P46" i="7"/>
  <c r="O46" i="7"/>
  <c r="Q46" i="7"/>
  <c r="L15" i="7"/>
  <c r="S15" i="7"/>
  <c r="K15" i="7"/>
  <c r="Q15" i="7"/>
  <c r="P15" i="7"/>
  <c r="T15" i="7"/>
  <c r="X17" i="7"/>
  <c r="V14" i="7"/>
  <c r="U14" i="7"/>
  <c r="K51" i="7"/>
  <c r="N51" i="7"/>
  <c r="M51" i="7"/>
  <c r="L51" i="7"/>
  <c r="R51" i="7"/>
  <c r="P51" i="7"/>
  <c r="O51" i="7"/>
  <c r="P37" i="7"/>
  <c r="R37" i="7"/>
  <c r="Q37" i="7"/>
  <c r="K37" i="7"/>
  <c r="L37" i="7"/>
  <c r="S37" i="7"/>
  <c r="O37" i="7"/>
  <c r="Q10" i="7"/>
  <c r="T10" i="7"/>
  <c r="R10" i="7"/>
  <c r="O10" i="7"/>
  <c r="N10" i="7"/>
  <c r="S10" i="7"/>
  <c r="L10" i="7"/>
  <c r="P10" i="7"/>
  <c r="S11" i="7"/>
  <c r="T11" i="7"/>
  <c r="L11" i="7"/>
  <c r="K11" i="7"/>
  <c r="Q11" i="7"/>
  <c r="R21" i="7"/>
  <c r="Q21" i="7"/>
  <c r="K21" i="7"/>
  <c r="P21" i="7"/>
  <c r="T21" i="7"/>
  <c r="O21" i="7"/>
  <c r="L21" i="7"/>
  <c r="Q12" i="7"/>
  <c r="K12" i="7"/>
  <c r="T12" i="7"/>
  <c r="M12" i="7"/>
  <c r="V35" i="7"/>
  <c r="U35" i="7"/>
  <c r="W36" i="7"/>
  <c r="R12" i="7"/>
  <c r="L30" i="7"/>
  <c r="R30" i="7"/>
  <c r="P30" i="7"/>
  <c r="K30" i="7"/>
  <c r="S30" i="7"/>
  <c r="Q30" i="7"/>
  <c r="O48" i="7"/>
  <c r="R48" i="7"/>
  <c r="V53" i="7"/>
  <c r="U53" i="7"/>
  <c r="X29" i="7"/>
  <c r="N11" i="7"/>
  <c r="P11" i="7"/>
  <c r="X55" i="7"/>
  <c r="U43" i="7"/>
  <c r="W43" i="7" s="1"/>
  <c r="O30" i="7"/>
  <c r="K45" i="7"/>
  <c r="V45" i="7" s="1"/>
  <c r="T48" i="7"/>
  <c r="S41" i="7"/>
  <c r="L12" i="7"/>
  <c r="S51" i="7"/>
  <c r="K10" i="7"/>
  <c r="V10" i="7" s="1"/>
  <c r="T37" i="7"/>
  <c r="Q58" i="7"/>
  <c r="S22" i="7"/>
  <c r="L22" i="7"/>
  <c r="T22" i="7"/>
  <c r="K22" i="7"/>
  <c r="R22" i="7"/>
  <c r="P22" i="7"/>
  <c r="Q22" i="7"/>
  <c r="S24" i="7"/>
  <c r="L24" i="7"/>
  <c r="Q24" i="7"/>
  <c r="K20" i="7"/>
  <c r="S20" i="7"/>
  <c r="R20" i="7"/>
  <c r="Q20" i="7"/>
  <c r="O20" i="7"/>
  <c r="T20" i="7"/>
  <c r="L20" i="7"/>
  <c r="P20" i="7"/>
  <c r="L38" i="7"/>
  <c r="Q38" i="7"/>
  <c r="R38" i="7"/>
  <c r="O38" i="7"/>
  <c r="K38" i="7"/>
  <c r="T38" i="7"/>
  <c r="P38" i="7"/>
  <c r="L33" i="7"/>
  <c r="S33" i="7"/>
  <c r="R33" i="7"/>
  <c r="O33" i="7"/>
  <c r="Q33" i="7"/>
  <c r="K33" i="7"/>
  <c r="P33" i="7"/>
  <c r="X33" i="7" s="1"/>
  <c r="U17" i="7"/>
  <c r="V17" i="7"/>
  <c r="U29" i="7"/>
  <c r="V29" i="7"/>
  <c r="W32" i="7"/>
  <c r="X59" i="7"/>
  <c r="V56" i="7"/>
  <c r="U56" i="7"/>
  <c r="J48" i="8"/>
  <c r="N48" i="8" s="1"/>
  <c r="K48" i="8"/>
  <c r="O48" i="8" s="1"/>
  <c r="L48" i="8"/>
  <c r="K49" i="8"/>
  <c r="O49" i="8" s="1"/>
  <c r="J49" i="8"/>
  <c r="L49" i="8"/>
  <c r="N24" i="8"/>
  <c r="V19" i="7"/>
  <c r="U19" i="7"/>
  <c r="U54" i="7"/>
  <c r="J12" i="8"/>
  <c r="N12" i="8" s="1"/>
  <c r="K12" i="8"/>
  <c r="O12" i="8" s="1"/>
  <c r="V13" i="7"/>
  <c r="U13" i="7"/>
  <c r="N21" i="8"/>
  <c r="V27" i="7"/>
  <c r="U27" i="7"/>
  <c r="J8" i="8"/>
  <c r="K8" i="8"/>
  <c r="O8" i="8" s="1"/>
  <c r="L8" i="8"/>
  <c r="L54" i="8"/>
  <c r="J54" i="8"/>
  <c r="K54" i="8"/>
  <c r="O54" i="8" s="1"/>
  <c r="T14" i="1"/>
  <c r="U14" i="1" s="1"/>
  <c r="R58" i="1"/>
  <c r="S58" i="1" s="1"/>
  <c r="V47" i="1"/>
  <c r="X50" i="1"/>
  <c r="H51" i="5" s="1"/>
  <c r="V29" i="1"/>
  <c r="V52" i="1"/>
  <c r="T50" i="1"/>
  <c r="V40" i="1"/>
  <c r="X29" i="1"/>
  <c r="H30" i="5" s="1"/>
  <c r="X58" i="1"/>
  <c r="H59" i="5" s="1"/>
  <c r="X14" i="1"/>
  <c r="H15" i="5" s="1"/>
  <c r="T19" i="1"/>
  <c r="T6" i="1"/>
  <c r="X21" i="1"/>
  <c r="H22" i="5" s="1"/>
  <c r="T29" i="1"/>
  <c r="U29" i="1" s="1"/>
  <c r="R50" i="1"/>
  <c r="S50" i="1" s="1"/>
  <c r="V14" i="1"/>
  <c r="X13" i="1"/>
  <c r="H14" i="5" s="1"/>
  <c r="X36" i="1"/>
  <c r="H37" i="5" s="1"/>
  <c r="V36" i="1"/>
  <c r="T8" i="1"/>
  <c r="B20" i="2"/>
  <c r="R21" i="1"/>
  <c r="S21" i="1" s="1"/>
  <c r="X51" i="1"/>
  <c r="H52" i="5" s="1"/>
  <c r="X23" i="1"/>
  <c r="H24" i="5" s="1"/>
  <c r="V37" i="1"/>
  <c r="R6" i="1"/>
  <c r="S6" i="1" s="1"/>
  <c r="X40" i="1"/>
  <c r="H41" i="5" s="1"/>
  <c r="T53" i="1"/>
  <c r="S20" i="1"/>
  <c r="R13" i="1"/>
  <c r="S13" i="1" s="1"/>
  <c r="T7" i="1"/>
  <c r="U7" i="1" s="1"/>
  <c r="X20" i="1"/>
  <c r="H21" i="5" s="1"/>
  <c r="T51" i="1"/>
  <c r="S40" i="1"/>
  <c r="X60" i="1"/>
  <c r="H61" i="5" s="1"/>
  <c r="X53" i="1"/>
  <c r="H54" i="5" s="1"/>
  <c r="T58" i="1"/>
  <c r="U58" i="1" s="1"/>
  <c r="W58" i="1" s="1"/>
  <c r="J59" i="5" s="1"/>
  <c r="R51" i="1"/>
  <c r="S51" i="1" s="1"/>
  <c r="R52" i="1"/>
  <c r="S52" i="1" s="1"/>
  <c r="U52" i="1" s="1"/>
  <c r="T13" i="1"/>
  <c r="R19" i="1"/>
  <c r="S19" i="1" s="1"/>
  <c r="X47" i="1"/>
  <c r="H48" i="5" s="1"/>
  <c r="R45" i="1"/>
  <c r="S45" i="1" s="1"/>
  <c r="U45" i="1" s="1"/>
  <c r="R23" i="1"/>
  <c r="S23" i="1" s="1"/>
  <c r="U23" i="1" s="1"/>
  <c r="S12" i="1"/>
  <c r="R37" i="1"/>
  <c r="S37" i="1" s="1"/>
  <c r="U37" i="1" s="1"/>
  <c r="T60" i="1"/>
  <c r="U60" i="1" s="1"/>
  <c r="T21" i="1"/>
  <c r="X12" i="1"/>
  <c r="H13" i="5" s="1"/>
  <c r="X37" i="1"/>
  <c r="H38" i="5" s="1"/>
  <c r="X52" i="1"/>
  <c r="H53" i="5" s="1"/>
  <c r="R53" i="1"/>
  <c r="S53" i="1" s="1"/>
  <c r="U53" i="1" s="1"/>
  <c r="W53" i="1" s="1"/>
  <c r="Y53" i="1" s="1"/>
  <c r="T36" i="1"/>
  <c r="U36" i="1" s="1"/>
  <c r="T40" i="1"/>
  <c r="X19" i="1"/>
  <c r="H20" i="5" s="1"/>
  <c r="V7" i="1"/>
  <c r="V6" i="1"/>
  <c r="X6" i="1"/>
  <c r="H7" i="5" s="1"/>
  <c r="X28" i="1"/>
  <c r="H29" i="5" s="1"/>
  <c r="X7" i="1"/>
  <c r="H8" i="5" s="1"/>
  <c r="R35" i="1"/>
  <c r="S35" i="1" s="1"/>
  <c r="U35" i="1" s="1"/>
  <c r="T28" i="1"/>
  <c r="U28" i="1" s="1"/>
  <c r="X45" i="1"/>
  <c r="H46" i="5" s="1"/>
  <c r="V45" i="1"/>
  <c r="V23" i="1"/>
  <c r="V60" i="1"/>
  <c r="R47" i="1"/>
  <c r="S47" i="1" s="1"/>
  <c r="U47" i="1" s="1"/>
  <c r="V35" i="1"/>
  <c r="R24" i="1"/>
  <c r="S24" i="1" s="1"/>
  <c r="T20" i="1"/>
  <c r="T12" i="1"/>
  <c r="V8" i="1"/>
  <c r="V12" i="1"/>
  <c r="V28" i="1"/>
  <c r="V20" i="1"/>
  <c r="X35" i="1"/>
  <c r="H36" i="5" s="1"/>
  <c r="T16" i="1"/>
  <c r="R54" i="1"/>
  <c r="S54" i="1" s="1"/>
  <c r="S16" i="1"/>
  <c r="T56" i="1"/>
  <c r="V54" i="1"/>
  <c r="R33" i="1"/>
  <c r="S33" i="1" s="1"/>
  <c r="T17" i="1"/>
  <c r="T44" i="1"/>
  <c r="V15" i="1"/>
  <c r="T48" i="1"/>
  <c r="X46" i="1"/>
  <c r="H47" i="5" s="1"/>
  <c r="X25" i="1"/>
  <c r="H26" i="5" s="1"/>
  <c r="V44" i="1"/>
  <c r="X16" i="1"/>
  <c r="H17" i="5" s="1"/>
  <c r="X57" i="1"/>
  <c r="H58" i="5" s="1"/>
  <c r="V31" i="1"/>
  <c r="T33" i="1"/>
  <c r="R49" i="1"/>
  <c r="S49" i="1" s="1"/>
  <c r="T11" i="1"/>
  <c r="T27" i="1"/>
  <c r="R48" i="1"/>
  <c r="S48" i="1" s="1"/>
  <c r="T9" i="1"/>
  <c r="U9" i="1" s="1"/>
  <c r="V46" i="1"/>
  <c r="R25" i="1"/>
  <c r="S25" i="1" s="1"/>
  <c r="U25" i="1" s="1"/>
  <c r="T55" i="1"/>
  <c r="X39" i="1"/>
  <c r="H40" i="5" s="1"/>
  <c r="S56" i="1"/>
  <c r="T57" i="1"/>
  <c r="X8" i="1"/>
  <c r="T43" i="1"/>
  <c r="V49" i="1"/>
  <c r="X9" i="1"/>
  <c r="H10" i="5" s="1"/>
  <c r="R57" i="1"/>
  <c r="S57" i="1" s="1"/>
  <c r="R55" i="1"/>
  <c r="S55" i="1" s="1"/>
  <c r="X41" i="1"/>
  <c r="H42" i="5" s="1"/>
  <c r="X56" i="1"/>
  <c r="H57" i="5" s="1"/>
  <c r="T32" i="1"/>
  <c r="U32" i="1" s="1"/>
  <c r="V39" i="1"/>
  <c r="X27" i="1"/>
  <c r="H28" i="5" s="1"/>
  <c r="R59" i="1"/>
  <c r="S59" i="1" s="1"/>
  <c r="T24" i="1"/>
  <c r="U24" i="1" s="1"/>
  <c r="R8" i="1"/>
  <c r="S8" i="1" s="1"/>
  <c r="T54" i="1"/>
  <c r="V9" i="1"/>
  <c r="R46" i="1"/>
  <c r="S46" i="1" s="1"/>
  <c r="U46" i="1" s="1"/>
  <c r="V25" i="1"/>
  <c r="R44" i="1"/>
  <c r="S44" i="1" s="1"/>
  <c r="X55" i="1"/>
  <c r="H56" i="5" s="1"/>
  <c r="T41" i="1"/>
  <c r="U41" i="1" s="1"/>
  <c r="V41" i="1"/>
  <c r="V32" i="1"/>
  <c r="T49" i="1"/>
  <c r="V43" i="1"/>
  <c r="R39" i="1"/>
  <c r="S39" i="1" s="1"/>
  <c r="U39" i="1" s="1"/>
  <c r="W39" i="1" s="1"/>
  <c r="J40" i="5" s="1"/>
  <c r="V59" i="1"/>
  <c r="V33" i="1"/>
  <c r="R11" i="1"/>
  <c r="S11" i="1" s="1"/>
  <c r="V17" i="1"/>
  <c r="R15" i="1"/>
  <c r="S15" i="1" s="1"/>
  <c r="U15" i="1" s="1"/>
  <c r="V48" i="1"/>
  <c r="V24" i="1"/>
  <c r="V16" i="1"/>
  <c r="V56" i="1"/>
  <c r="X31" i="1"/>
  <c r="H32" i="5" s="1"/>
  <c r="R43" i="1"/>
  <c r="S43" i="1" s="1"/>
  <c r="R17" i="1"/>
  <c r="S17" i="1" s="1"/>
  <c r="R31" i="1"/>
  <c r="S31" i="1" s="1"/>
  <c r="U31" i="1" s="1"/>
  <c r="X32" i="1"/>
  <c r="H33" i="5" s="1"/>
  <c r="V11" i="1"/>
  <c r="X15" i="1"/>
  <c r="H16" i="5" s="1"/>
  <c r="T59" i="1"/>
  <c r="R27" i="1"/>
  <c r="S27" i="1" s="1"/>
  <c r="T30" i="1"/>
  <c r="V30" i="1"/>
  <c r="R30" i="1"/>
  <c r="S30" i="1" s="1"/>
  <c r="X30" i="1"/>
  <c r="H31" i="5" s="1"/>
  <c r="V16" i="7"/>
  <c r="U16" i="7"/>
  <c r="X9" i="7"/>
  <c r="T34" i="1"/>
  <c r="X34" i="1"/>
  <c r="H35" i="5" s="1"/>
  <c r="V34" i="1"/>
  <c r="R34" i="1"/>
  <c r="S34" i="1" s="1"/>
  <c r="V31" i="7"/>
  <c r="U31" i="7"/>
  <c r="K11" i="8"/>
  <c r="J11" i="8"/>
  <c r="L11" i="8"/>
  <c r="T22" i="1"/>
  <c r="V22" i="1"/>
  <c r="X22" i="1"/>
  <c r="H23" i="5" s="1"/>
  <c r="R22" i="1"/>
  <c r="S22" i="1" s="1"/>
  <c r="H28" i="8"/>
  <c r="I28" i="8"/>
  <c r="L20" i="8"/>
  <c r="K20" i="8"/>
  <c r="O20" i="8" s="1"/>
  <c r="J20" i="8"/>
  <c r="X42" i="1"/>
  <c r="H43" i="5" s="1"/>
  <c r="T42" i="1"/>
  <c r="R42" i="1"/>
  <c r="S42" i="1" s="1"/>
  <c r="V42" i="1"/>
  <c r="T18" i="1"/>
  <c r="X18" i="1"/>
  <c r="H19" i="5" s="1"/>
  <c r="R18" i="1"/>
  <c r="S18" i="1" s="1"/>
  <c r="V18" i="1"/>
  <c r="X26" i="1"/>
  <c r="H27" i="5" s="1"/>
  <c r="T26" i="1"/>
  <c r="R26" i="1"/>
  <c r="S26" i="1" s="1"/>
  <c r="V26" i="1"/>
  <c r="V38" i="1"/>
  <c r="X38" i="1"/>
  <c r="H39" i="5" s="1"/>
  <c r="T38" i="1"/>
  <c r="R38" i="1"/>
  <c r="S38" i="1" s="1"/>
  <c r="W61" i="7"/>
  <c r="H18" i="8"/>
  <c r="I18" i="8"/>
  <c r="V60" i="7"/>
  <c r="U60" i="7"/>
  <c r="J14" i="8"/>
  <c r="L14" i="8"/>
  <c r="K14" i="8"/>
  <c r="O14" i="8" s="1"/>
  <c r="L25" i="8"/>
  <c r="J25" i="8"/>
  <c r="K25" i="8"/>
  <c r="O25" i="8" s="1"/>
  <c r="L57" i="8"/>
  <c r="N57" i="8" s="1"/>
  <c r="K57" i="8"/>
  <c r="O57" i="8" s="1"/>
  <c r="J57" i="8"/>
  <c r="T10" i="1"/>
  <c r="R10" i="1"/>
  <c r="S10" i="1" s="1"/>
  <c r="X10" i="1"/>
  <c r="H11" i="5" s="1"/>
  <c r="V10" i="1"/>
  <c r="I39" i="8"/>
  <c r="H39" i="8"/>
  <c r="N40" i="8"/>
  <c r="I23" i="8"/>
  <c r="H23" i="8"/>
  <c r="V28" i="7"/>
  <c r="V46" i="7"/>
  <c r="U46" i="7"/>
  <c r="H55" i="8"/>
  <c r="I55" i="8"/>
  <c r="I36" i="8"/>
  <c r="H36" i="8"/>
  <c r="V49" i="7"/>
  <c r="U49" i="7"/>
  <c r="U59" i="7"/>
  <c r="W59" i="7" s="1"/>
  <c r="U55" i="7"/>
  <c r="V55" i="7"/>
  <c r="L45" i="8"/>
  <c r="K45" i="8"/>
  <c r="O45" i="8" s="1"/>
  <c r="J45" i="8"/>
  <c r="E14" i="22"/>
  <c r="E15" i="22" s="1"/>
  <c r="C14" i="22"/>
  <c r="X57" i="7" l="1"/>
  <c r="U50" i="7"/>
  <c r="W50" i="7" s="1"/>
  <c r="L59" i="8"/>
  <c r="W40" i="7"/>
  <c r="U58" i="7"/>
  <c r="W47" i="7"/>
  <c r="X52" i="7"/>
  <c r="AA50" i="1" s="1"/>
  <c r="K51" i="5" s="1"/>
  <c r="X25" i="7"/>
  <c r="J56" i="8"/>
  <c r="N56" i="8" s="1"/>
  <c r="L56" i="8"/>
  <c r="K56" i="8"/>
  <c r="O56" i="8" s="1"/>
  <c r="AA54" i="1" s="1"/>
  <c r="K55" i="5" s="1"/>
  <c r="X34" i="7"/>
  <c r="X50" i="7"/>
  <c r="U40" i="1"/>
  <c r="W40" i="1" s="1"/>
  <c r="Y40" i="1" s="1"/>
  <c r="G41" i="5" s="1"/>
  <c r="U24" i="7"/>
  <c r="W24" i="7" s="1"/>
  <c r="X54" i="7"/>
  <c r="U48" i="7"/>
  <c r="W48" i="7" s="1"/>
  <c r="AA12" i="1"/>
  <c r="K13" i="5" s="1"/>
  <c r="W14" i="7"/>
  <c r="J59" i="8"/>
  <c r="N59" i="8" s="1"/>
  <c r="U57" i="7"/>
  <c r="W57" i="7" s="1"/>
  <c r="AA15" i="1"/>
  <c r="K16" i="5" s="1"/>
  <c r="X24" i="7"/>
  <c r="AA22" i="1" s="1"/>
  <c r="K23" i="5" s="1"/>
  <c r="W9" i="7"/>
  <c r="W58" i="7"/>
  <c r="AA47" i="1"/>
  <c r="K48" i="5" s="1"/>
  <c r="X41" i="7"/>
  <c r="N49" i="8"/>
  <c r="X48" i="7"/>
  <c r="AA46" i="1" s="1"/>
  <c r="K47" i="5" s="1"/>
  <c r="K52" i="8"/>
  <c r="O52" i="8" s="1"/>
  <c r="L52" i="8"/>
  <c r="J52" i="8"/>
  <c r="K34" i="8"/>
  <c r="O34" i="8" s="1"/>
  <c r="AA32" i="1" s="1"/>
  <c r="K33" i="5" s="1"/>
  <c r="L34" i="8"/>
  <c r="J34" i="8"/>
  <c r="L35" i="8"/>
  <c r="K35" i="8"/>
  <c r="O35" i="8" s="1"/>
  <c r="AA33" i="1" s="1"/>
  <c r="K34" i="5" s="1"/>
  <c r="J35" i="8"/>
  <c r="L26" i="8"/>
  <c r="J26" i="8"/>
  <c r="K26" i="8"/>
  <c r="O26" i="8" s="1"/>
  <c r="AA24" i="1" s="1"/>
  <c r="K25" i="5" s="1"/>
  <c r="J29" i="8"/>
  <c r="K29" i="8"/>
  <c r="O29" i="8" s="1"/>
  <c r="AA27" i="1" s="1"/>
  <c r="K28" i="5" s="1"/>
  <c r="L29" i="8"/>
  <c r="J37" i="8"/>
  <c r="K37" i="8"/>
  <c r="O37" i="8" s="1"/>
  <c r="L37" i="8"/>
  <c r="K9" i="8"/>
  <c r="O9" i="8" s="1"/>
  <c r="AA7" i="1" s="1"/>
  <c r="L9" i="8"/>
  <c r="J9" i="8"/>
  <c r="J15" i="8"/>
  <c r="L15" i="8"/>
  <c r="K15" i="8"/>
  <c r="O15" i="8" s="1"/>
  <c r="AA57" i="1"/>
  <c r="K58" i="5" s="1"/>
  <c r="W29" i="7"/>
  <c r="X38" i="7"/>
  <c r="X15" i="7"/>
  <c r="K22" i="8"/>
  <c r="O22" i="8" s="1"/>
  <c r="J22" i="8"/>
  <c r="L22" i="8"/>
  <c r="L19" i="8"/>
  <c r="K19" i="8"/>
  <c r="O19" i="8" s="1"/>
  <c r="AA17" i="1" s="1"/>
  <c r="K18" i="5" s="1"/>
  <c r="J19" i="8"/>
  <c r="N19" i="8" s="1"/>
  <c r="J47" i="8"/>
  <c r="L47" i="8"/>
  <c r="K47" i="8"/>
  <c r="O47" i="8" s="1"/>
  <c r="AA45" i="1" s="1"/>
  <c r="K46" i="5" s="1"/>
  <c r="K16" i="8"/>
  <c r="O16" i="8" s="1"/>
  <c r="AA14" i="1" s="1"/>
  <c r="K15" i="5" s="1"/>
  <c r="J16" i="8"/>
  <c r="N16" i="8" s="1"/>
  <c r="L16" i="8"/>
  <c r="L51" i="8"/>
  <c r="K51" i="8"/>
  <c r="O51" i="8" s="1"/>
  <c r="J51" i="8"/>
  <c r="K60" i="8"/>
  <c r="O60" i="8" s="1"/>
  <c r="L60" i="8"/>
  <c r="J60" i="8"/>
  <c r="L46" i="8"/>
  <c r="J46" i="8"/>
  <c r="K46" i="8"/>
  <c r="O46" i="8" s="1"/>
  <c r="K33" i="8"/>
  <c r="O33" i="8" s="1"/>
  <c r="AA31" i="1" s="1"/>
  <c r="J33" i="8"/>
  <c r="L33" i="8"/>
  <c r="J41" i="8"/>
  <c r="K41" i="8"/>
  <c r="O41" i="8" s="1"/>
  <c r="L41" i="8"/>
  <c r="N54" i="8"/>
  <c r="N8" i="8"/>
  <c r="W35" i="7"/>
  <c r="N22" i="8"/>
  <c r="L30" i="8"/>
  <c r="K30" i="8"/>
  <c r="O30" i="8" s="1"/>
  <c r="J30" i="8"/>
  <c r="N30" i="8" s="1"/>
  <c r="K27" i="8"/>
  <c r="O27" i="8" s="1"/>
  <c r="L27" i="8"/>
  <c r="J27" i="8"/>
  <c r="N27" i="8" s="1"/>
  <c r="L58" i="8"/>
  <c r="K58" i="8"/>
  <c r="O58" i="8" s="1"/>
  <c r="J58" i="8"/>
  <c r="J44" i="8"/>
  <c r="L44" i="8"/>
  <c r="K44" i="8"/>
  <c r="O44" i="8" s="1"/>
  <c r="AA42" i="1" s="1"/>
  <c r="K43" i="5" s="1"/>
  <c r="AA52" i="1"/>
  <c r="K53" i="5" s="1"/>
  <c r="X27" i="7"/>
  <c r="AA58" i="1"/>
  <c r="K59" i="5" s="1"/>
  <c r="X42" i="7"/>
  <c r="L32" i="8"/>
  <c r="J32" i="8"/>
  <c r="K32" i="8"/>
  <c r="O32" i="8" s="1"/>
  <c r="AA30" i="1" s="1"/>
  <c r="K31" i="5" s="1"/>
  <c r="N29" i="8"/>
  <c r="L42" i="8"/>
  <c r="K42" i="8"/>
  <c r="O42" i="8" s="1"/>
  <c r="J42" i="8"/>
  <c r="J50" i="8"/>
  <c r="L50" i="8"/>
  <c r="K50" i="8"/>
  <c r="O50" i="8" s="1"/>
  <c r="L53" i="8"/>
  <c r="K53" i="8"/>
  <c r="O53" i="8" s="1"/>
  <c r="AA51" i="1" s="1"/>
  <c r="K52" i="5" s="1"/>
  <c r="J53" i="8"/>
  <c r="K38" i="8"/>
  <c r="O38" i="8" s="1"/>
  <c r="J38" i="8"/>
  <c r="L38" i="8"/>
  <c r="R67" i="7"/>
  <c r="W46" i="7"/>
  <c r="X8" i="7"/>
  <c r="AA6" i="1" s="1"/>
  <c r="K7" i="5" s="1"/>
  <c r="X58" i="7"/>
  <c r="AA56" i="1" s="1"/>
  <c r="K57" i="5" s="1"/>
  <c r="X22" i="7"/>
  <c r="L67" i="7"/>
  <c r="X12" i="7"/>
  <c r="AA10" i="1" s="1"/>
  <c r="K11" i="5" s="1"/>
  <c r="X46" i="7"/>
  <c r="X30" i="7"/>
  <c r="W31" i="7"/>
  <c r="W17" i="7"/>
  <c r="X21" i="7"/>
  <c r="AA19" i="1" s="1"/>
  <c r="K20" i="5" s="1"/>
  <c r="X20" i="7"/>
  <c r="AA20" i="7" s="1"/>
  <c r="AA22" i="7" s="1"/>
  <c r="X11" i="7"/>
  <c r="M67" i="7"/>
  <c r="O67" i="7"/>
  <c r="X51" i="7"/>
  <c r="AA49" i="1" s="1"/>
  <c r="K50" i="5" s="1"/>
  <c r="V34" i="7"/>
  <c r="U34" i="7"/>
  <c r="S67" i="7"/>
  <c r="AA23" i="1"/>
  <c r="K24" i="5" s="1"/>
  <c r="W60" i="7"/>
  <c r="W27" i="7"/>
  <c r="W54" i="7"/>
  <c r="W19" i="7"/>
  <c r="W56" i="7"/>
  <c r="Q67" i="7"/>
  <c r="X37" i="7"/>
  <c r="AA35" i="1" s="1"/>
  <c r="K36" i="5" s="1"/>
  <c r="V30" i="7"/>
  <c r="U30" i="7"/>
  <c r="V21" i="7"/>
  <c r="U21" i="7"/>
  <c r="V15" i="7"/>
  <c r="U15" i="7"/>
  <c r="V42" i="7"/>
  <c r="U42" i="7"/>
  <c r="T67" i="7"/>
  <c r="U10" i="7"/>
  <c r="W10" i="7" s="1"/>
  <c r="V33" i="7"/>
  <c r="U33" i="7"/>
  <c r="U38" i="7"/>
  <c r="V38" i="7"/>
  <c r="V51" i="7"/>
  <c r="U51" i="7"/>
  <c r="P67" i="7"/>
  <c r="W28" i="7"/>
  <c r="U45" i="7"/>
  <c r="W45" i="7" s="1"/>
  <c r="W53" i="7"/>
  <c r="V12" i="7"/>
  <c r="U12" i="7"/>
  <c r="V8" i="7"/>
  <c r="U8" i="7"/>
  <c r="V41" i="7"/>
  <c r="U41" i="7"/>
  <c r="V22" i="7"/>
  <c r="U22" i="7"/>
  <c r="V11" i="7"/>
  <c r="U11" i="7"/>
  <c r="V20" i="7"/>
  <c r="U20" i="7"/>
  <c r="N67" i="7"/>
  <c r="X10" i="7"/>
  <c r="AA8" i="1" s="1"/>
  <c r="K9" i="5" s="1"/>
  <c r="V37" i="7"/>
  <c r="U37" i="7"/>
  <c r="X45" i="7"/>
  <c r="AA43" i="1" s="1"/>
  <c r="K44" i="5" s="1"/>
  <c r="W55" i="7"/>
  <c r="N20" i="8"/>
  <c r="N45" i="8"/>
  <c r="W49" i="7"/>
  <c r="N25" i="8"/>
  <c r="N14" i="8"/>
  <c r="W13" i="7"/>
  <c r="W47" i="1"/>
  <c r="J48" i="5" s="1"/>
  <c r="U6" i="1"/>
  <c r="W6" i="1" s="1"/>
  <c r="J7" i="5" s="1"/>
  <c r="W29" i="1"/>
  <c r="J30" i="5" s="1"/>
  <c r="U19" i="1"/>
  <c r="W19" i="1" s="1"/>
  <c r="J20" i="5" s="1"/>
  <c r="W52" i="1"/>
  <c r="J53" i="5" s="1"/>
  <c r="U50" i="1"/>
  <c r="W50" i="1" s="1"/>
  <c r="J51" i="5" s="1"/>
  <c r="H9" i="5"/>
  <c r="B21" i="2"/>
  <c r="W36" i="1"/>
  <c r="J37" i="5" s="1"/>
  <c r="W14" i="1"/>
  <c r="J15" i="5" s="1"/>
  <c r="U51" i="1"/>
  <c r="W51" i="1" s="1"/>
  <c r="Y51" i="1" s="1"/>
  <c r="W37" i="1"/>
  <c r="Y37" i="1" s="1"/>
  <c r="G38" i="5" s="1"/>
  <c r="U59" i="1"/>
  <c r="W59" i="1" s="1"/>
  <c r="Y59" i="1" s="1"/>
  <c r="AD59" i="1" s="1"/>
  <c r="M60" i="5" s="1"/>
  <c r="G126" i="5" s="1"/>
  <c r="W31" i="1"/>
  <c r="J32" i="5" s="1"/>
  <c r="U8" i="1"/>
  <c r="W8" i="1" s="1"/>
  <c r="Y8" i="1" s="1"/>
  <c r="U21" i="1"/>
  <c r="W21" i="1" s="1"/>
  <c r="Y21" i="1" s="1"/>
  <c r="G22" i="5" s="1"/>
  <c r="U13" i="1"/>
  <c r="W13" i="1" s="1"/>
  <c r="Y13" i="1" s="1"/>
  <c r="G14" i="5" s="1"/>
  <c r="U43" i="1"/>
  <c r="W43" i="1" s="1"/>
  <c r="Y43" i="1" s="1"/>
  <c r="G44" i="5" s="1"/>
  <c r="W60" i="1"/>
  <c r="Y60" i="1" s="1"/>
  <c r="AD60" i="1" s="1"/>
  <c r="M61" i="5" s="1"/>
  <c r="G127" i="5" s="1"/>
  <c r="U12" i="1"/>
  <c r="W12" i="1" s="1"/>
  <c r="Y12" i="1" s="1"/>
  <c r="U20" i="1"/>
  <c r="W20" i="1" s="1"/>
  <c r="J21" i="5" s="1"/>
  <c r="W45" i="1"/>
  <c r="J46" i="5" s="1"/>
  <c r="W23" i="1"/>
  <c r="J24" i="5" s="1"/>
  <c r="W28" i="1"/>
  <c r="J29" i="5" s="1"/>
  <c r="W7" i="1"/>
  <c r="Y7" i="1" s="1"/>
  <c r="G8" i="5" s="1"/>
  <c r="U17" i="1"/>
  <c r="W17" i="1" s="1"/>
  <c r="J18" i="5" s="1"/>
  <c r="W35" i="1"/>
  <c r="J36" i="5" s="1"/>
  <c r="U27" i="1"/>
  <c r="W27" i="1" s="1"/>
  <c r="Y27" i="1" s="1"/>
  <c r="U55" i="1"/>
  <c r="W55" i="1" s="1"/>
  <c r="J56" i="5" s="1"/>
  <c r="U33" i="1"/>
  <c r="W33" i="1" s="1"/>
  <c r="J34" i="5" s="1"/>
  <c r="W15" i="1"/>
  <c r="J16" i="5" s="1"/>
  <c r="U44" i="1"/>
  <c r="W44" i="1" s="1"/>
  <c r="Y44" i="1" s="1"/>
  <c r="G45" i="5" s="1"/>
  <c r="U56" i="1"/>
  <c r="W56" i="1" s="1"/>
  <c r="Y56" i="1" s="1"/>
  <c r="U57" i="1"/>
  <c r="W57" i="1" s="1"/>
  <c r="Y57" i="1" s="1"/>
  <c r="U16" i="1"/>
  <c r="W16" i="1" s="1"/>
  <c r="J17" i="5" s="1"/>
  <c r="W25" i="1"/>
  <c r="J26" i="5" s="1"/>
  <c r="U49" i="1"/>
  <c r="W49" i="1" s="1"/>
  <c r="Y49" i="1" s="1"/>
  <c r="W9" i="1"/>
  <c r="Y9" i="1" s="1"/>
  <c r="G10" i="5" s="1"/>
  <c r="W32" i="1"/>
  <c r="J33" i="5" s="1"/>
  <c r="U54" i="1"/>
  <c r="W54" i="1" s="1"/>
  <c r="Y54" i="1" s="1"/>
  <c r="U11" i="1"/>
  <c r="W11" i="1" s="1"/>
  <c r="Y11" i="1" s="1"/>
  <c r="G12" i="5" s="1"/>
  <c r="U48" i="1"/>
  <c r="W48" i="1" s="1"/>
  <c r="Y48" i="1" s="1"/>
  <c r="G49" i="5" s="1"/>
  <c r="W46" i="1"/>
  <c r="J47" i="5" s="1"/>
  <c r="W41" i="1"/>
  <c r="J42" i="5" s="1"/>
  <c r="W24" i="1"/>
  <c r="J25" i="5" s="1"/>
  <c r="Y58" i="1"/>
  <c r="G59" i="5" s="1"/>
  <c r="Y39" i="1"/>
  <c r="G40" i="5" s="1"/>
  <c r="J54" i="5"/>
  <c r="U38" i="1"/>
  <c r="W38" i="1" s="1"/>
  <c r="J39" i="5" s="1"/>
  <c r="U22" i="1"/>
  <c r="W22" i="1" s="1"/>
  <c r="U26" i="1"/>
  <c r="W26" i="1" s="1"/>
  <c r="U42" i="1"/>
  <c r="W42" i="1" s="1"/>
  <c r="U34" i="1"/>
  <c r="W34" i="1" s="1"/>
  <c r="J35" i="5" s="1"/>
  <c r="U10" i="1"/>
  <c r="W10" i="1" s="1"/>
  <c r="Y10" i="1" s="1"/>
  <c r="U18" i="1"/>
  <c r="W18" i="1" s="1"/>
  <c r="J19" i="5" s="1"/>
  <c r="W16" i="7"/>
  <c r="J55" i="8"/>
  <c r="L55" i="8"/>
  <c r="K55" i="8"/>
  <c r="O55" i="8" s="1"/>
  <c r="AA53" i="1" s="1"/>
  <c r="K54" i="5" s="1"/>
  <c r="I67" i="8"/>
  <c r="K74" i="8" s="1"/>
  <c r="AA55" i="1"/>
  <c r="K56" i="5" s="1"/>
  <c r="N11" i="8"/>
  <c r="L18" i="8"/>
  <c r="K18" i="8"/>
  <c r="O18" i="8" s="1"/>
  <c r="AA16" i="1" s="1"/>
  <c r="J18" i="8"/>
  <c r="J28" i="8"/>
  <c r="L28" i="8"/>
  <c r="K28" i="8"/>
  <c r="O28" i="8" s="1"/>
  <c r="AA26" i="1" s="1"/>
  <c r="K27" i="5" s="1"/>
  <c r="O11" i="8"/>
  <c r="U30" i="1"/>
  <c r="W30" i="1" s="1"/>
  <c r="L36" i="8"/>
  <c r="J36" i="8"/>
  <c r="K36" i="8"/>
  <c r="O36" i="8" s="1"/>
  <c r="AA34" i="1" s="1"/>
  <c r="K35" i="5" s="1"/>
  <c r="L23" i="8"/>
  <c r="K23" i="8"/>
  <c r="O23" i="8" s="1"/>
  <c r="AA21" i="1" s="1"/>
  <c r="K22" i="5" s="1"/>
  <c r="J23" i="8"/>
  <c r="J39" i="8"/>
  <c r="L39" i="8"/>
  <c r="K39" i="8"/>
  <c r="O39" i="8" s="1"/>
  <c r="AA37" i="1" s="1"/>
  <c r="K38" i="5" s="1"/>
  <c r="G54" i="5"/>
  <c r="AA48" i="1" l="1"/>
  <c r="K49" i="5" s="1"/>
  <c r="N41" i="8"/>
  <c r="AA39" i="1"/>
  <c r="K40" i="5" s="1"/>
  <c r="N50" i="8"/>
  <c r="AA40" i="1"/>
  <c r="K41" i="5" s="1"/>
  <c r="N55" i="8"/>
  <c r="AD54" i="1"/>
  <c r="M55" i="5" s="1"/>
  <c r="G121" i="5" s="1"/>
  <c r="N47" i="8"/>
  <c r="N9" i="8"/>
  <c r="AA28" i="1"/>
  <c r="K29" i="5" s="1"/>
  <c r="AA20" i="1"/>
  <c r="K21" i="5" s="1"/>
  <c r="N60" i="8"/>
  <c r="N15" i="8"/>
  <c r="N26" i="8"/>
  <c r="N52" i="8"/>
  <c r="N18" i="8"/>
  <c r="N35" i="8"/>
  <c r="N36" i="8"/>
  <c r="AD51" i="1"/>
  <c r="M52" i="5" s="1"/>
  <c r="G118" i="5" s="1"/>
  <c r="AA44" i="1"/>
  <c r="K45" i="5" s="1"/>
  <c r="N53" i="8"/>
  <c r="N32" i="8"/>
  <c r="AA25" i="1"/>
  <c r="K26" i="5" s="1"/>
  <c r="N46" i="8"/>
  <c r="W33" i="7"/>
  <c r="K32" i="5"/>
  <c r="E21" i="2"/>
  <c r="N39" i="8"/>
  <c r="AD49" i="1"/>
  <c r="M50" i="5" s="1"/>
  <c r="G116" i="5" s="1"/>
  <c r="W34" i="7"/>
  <c r="N44" i="8"/>
  <c r="N58" i="8"/>
  <c r="N51" i="8"/>
  <c r="AA36" i="1"/>
  <c r="K37" i="5" s="1"/>
  <c r="N37" i="8"/>
  <c r="N34" i="8"/>
  <c r="W51" i="7"/>
  <c r="W42" i="7"/>
  <c r="W12" i="7"/>
  <c r="N38" i="8"/>
  <c r="N42" i="8"/>
  <c r="N33" i="8"/>
  <c r="AA13" i="1"/>
  <c r="K14" i="5" s="1"/>
  <c r="X67" i="7"/>
  <c r="S75" i="7" s="1"/>
  <c r="W21" i="7"/>
  <c r="AA18" i="1"/>
  <c r="K19" i="5" s="1"/>
  <c r="W37" i="7"/>
  <c r="W38" i="7"/>
  <c r="W15" i="7"/>
  <c r="W30" i="7"/>
  <c r="W22" i="7"/>
  <c r="V67" i="7"/>
  <c r="W20" i="7"/>
  <c r="Z20" i="7" s="1"/>
  <c r="Z22" i="7" s="1"/>
  <c r="W11" i="7"/>
  <c r="W41" i="7"/>
  <c r="W8" i="7"/>
  <c r="U67" i="7"/>
  <c r="Y47" i="1"/>
  <c r="G48" i="5" s="1"/>
  <c r="N28" i="8"/>
  <c r="L67" i="8"/>
  <c r="K76" i="8" s="1"/>
  <c r="N23" i="8"/>
  <c r="Y19" i="1"/>
  <c r="AD19" i="1" s="1"/>
  <c r="M20" i="5" s="1"/>
  <c r="G86" i="5" s="1"/>
  <c r="J41" i="5"/>
  <c r="Y6" i="1"/>
  <c r="G7" i="5" s="1"/>
  <c r="Y29" i="1"/>
  <c r="AD29" i="1" s="1"/>
  <c r="M30" i="5" s="1"/>
  <c r="G96" i="5" s="1"/>
  <c r="Y50" i="1"/>
  <c r="G51" i="5" s="1"/>
  <c r="J52" i="5"/>
  <c r="G52" i="5"/>
  <c r="Y52" i="1"/>
  <c r="AD52" i="1" s="1"/>
  <c r="M53" i="5" s="1"/>
  <c r="G119" i="5" s="1"/>
  <c r="J8" i="5"/>
  <c r="Y14" i="1"/>
  <c r="AD14" i="1" s="1"/>
  <c r="M15" i="5" s="1"/>
  <c r="G81" i="5" s="1"/>
  <c r="Y31" i="1"/>
  <c r="AD31" i="1" s="1"/>
  <c r="M32" i="5" s="1"/>
  <c r="G98" i="5" s="1"/>
  <c r="AD40" i="1"/>
  <c r="M41" i="5" s="1"/>
  <c r="G107" i="5" s="1"/>
  <c r="Y36" i="1"/>
  <c r="G37" i="5" s="1"/>
  <c r="J14" i="5"/>
  <c r="J38" i="5"/>
  <c r="J22" i="5"/>
  <c r="Y28" i="1"/>
  <c r="AD28" i="1" s="1"/>
  <c r="M29" i="5" s="1"/>
  <c r="G95" i="5" s="1"/>
  <c r="G61" i="5"/>
  <c r="B23" i="2"/>
  <c r="E20" i="2"/>
  <c r="Y23" i="1"/>
  <c r="G24" i="5" s="1"/>
  <c r="J61" i="5"/>
  <c r="Y45" i="1"/>
  <c r="G46" i="5" s="1"/>
  <c r="J28" i="5"/>
  <c r="Y35" i="1"/>
  <c r="G36" i="5" s="1"/>
  <c r="Y55" i="1"/>
  <c r="G56" i="5" s="1"/>
  <c r="Y16" i="1"/>
  <c r="G17" i="5" s="1"/>
  <c r="J44" i="5"/>
  <c r="J58" i="5"/>
  <c r="G60" i="5"/>
  <c r="Y33" i="1"/>
  <c r="AD33" i="1" s="1"/>
  <c r="M34" i="5" s="1"/>
  <c r="G100" i="5" s="1"/>
  <c r="Y20" i="1"/>
  <c r="G21" i="5" s="1"/>
  <c r="Y15" i="1"/>
  <c r="AD15" i="1" s="1"/>
  <c r="M16" i="5" s="1"/>
  <c r="G82" i="5" s="1"/>
  <c r="Y32" i="1"/>
  <c r="G33" i="5" s="1"/>
  <c r="J57" i="5"/>
  <c r="Y25" i="1"/>
  <c r="Y46" i="1"/>
  <c r="AD46" i="1" s="1"/>
  <c r="M47" i="5" s="1"/>
  <c r="G113" i="5" s="1"/>
  <c r="Y17" i="1"/>
  <c r="G18" i="5" s="1"/>
  <c r="J10" i="5"/>
  <c r="J13" i="5"/>
  <c r="G13" i="5"/>
  <c r="AD12" i="1"/>
  <c r="M13" i="5" s="1"/>
  <c r="G79" i="5" s="1"/>
  <c r="G55" i="5"/>
  <c r="J55" i="5"/>
  <c r="J45" i="5"/>
  <c r="J60" i="5"/>
  <c r="J9" i="5"/>
  <c r="G50" i="5"/>
  <c r="J12" i="5"/>
  <c r="AD11" i="1"/>
  <c r="M12" i="5" s="1"/>
  <c r="G78" i="5" s="1"/>
  <c r="AD48" i="1"/>
  <c r="M49" i="5" s="1"/>
  <c r="G115" i="5" s="1"/>
  <c r="Y24" i="1"/>
  <c r="AD24" i="1" s="1"/>
  <c r="M25" i="5" s="1"/>
  <c r="G91" i="5" s="1"/>
  <c r="J49" i="5"/>
  <c r="J50" i="5"/>
  <c r="Y41" i="1"/>
  <c r="AD53" i="1"/>
  <c r="M54" i="5" s="1"/>
  <c r="G120" i="5" s="1"/>
  <c r="AD58" i="1"/>
  <c r="M59" i="5" s="1"/>
  <c r="G125" i="5" s="1"/>
  <c r="AD21" i="1"/>
  <c r="M22" i="5" s="1"/>
  <c r="G88" i="5" s="1"/>
  <c r="J11" i="5"/>
  <c r="J23" i="5"/>
  <c r="Y22" i="1"/>
  <c r="AD22" i="1" s="1"/>
  <c r="M23" i="5" s="1"/>
  <c r="G89" i="5" s="1"/>
  <c r="AD43" i="1"/>
  <c r="M44" i="5" s="1"/>
  <c r="G110" i="5" s="1"/>
  <c r="Y34" i="1"/>
  <c r="AD34" i="1" s="1"/>
  <c r="M35" i="5" s="1"/>
  <c r="G101" i="5" s="1"/>
  <c r="Y18" i="1"/>
  <c r="G19" i="5" s="1"/>
  <c r="Y38" i="1"/>
  <c r="AD38" i="1" s="1"/>
  <c r="M39" i="5" s="1"/>
  <c r="G105" i="5" s="1"/>
  <c r="G57" i="5"/>
  <c r="AD56" i="1"/>
  <c r="M57" i="5" s="1"/>
  <c r="G123" i="5" s="1"/>
  <c r="J31" i="5"/>
  <c r="Y30" i="1"/>
  <c r="J27" i="5"/>
  <c r="Y26" i="1"/>
  <c r="AD37" i="1"/>
  <c r="M38" i="5" s="1"/>
  <c r="G104" i="5" s="1"/>
  <c r="K67" i="8"/>
  <c r="K78" i="8" s="1"/>
  <c r="J67" i="8"/>
  <c r="K75" i="8" s="1"/>
  <c r="AD10" i="1"/>
  <c r="M11" i="5" s="1"/>
  <c r="G77" i="5" s="1"/>
  <c r="G11" i="5"/>
  <c r="AD27" i="1"/>
  <c r="M28" i="5" s="1"/>
  <c r="G94" i="5" s="1"/>
  <c r="G28" i="5"/>
  <c r="O67" i="8"/>
  <c r="AA9" i="1"/>
  <c r="AD57" i="1"/>
  <c r="M58" i="5" s="1"/>
  <c r="G124" i="5" s="1"/>
  <c r="G58" i="5"/>
  <c r="K17" i="5"/>
  <c r="K8" i="5"/>
  <c r="AD7" i="1"/>
  <c r="M8" i="5" s="1"/>
  <c r="G74" i="5" s="1"/>
  <c r="J43" i="5"/>
  <c r="Y42" i="1"/>
  <c r="AD39" i="1" l="1"/>
  <c r="M40" i="5" s="1"/>
  <c r="G106" i="5" s="1"/>
  <c r="AD44" i="1"/>
  <c r="M45" i="5" s="1"/>
  <c r="G111" i="5" s="1"/>
  <c r="AD25" i="1"/>
  <c r="M26" i="5" s="1"/>
  <c r="G92" i="5" s="1"/>
  <c r="N67" i="8"/>
  <c r="AD13" i="1"/>
  <c r="M14" i="5" s="1"/>
  <c r="G80" i="5" s="1"/>
  <c r="G20" i="5"/>
  <c r="W67" i="7"/>
  <c r="S73" i="7" s="1"/>
  <c r="AD47" i="1"/>
  <c r="M48" i="5" s="1"/>
  <c r="G114" i="5" s="1"/>
  <c r="K81" i="8"/>
  <c r="AD6" i="1"/>
  <c r="M7" i="5" s="1"/>
  <c r="G73" i="5" s="1"/>
  <c r="G30" i="5"/>
  <c r="G53" i="5"/>
  <c r="AD50" i="1"/>
  <c r="M51" i="5" s="1"/>
  <c r="G117" i="5" s="1"/>
  <c r="AD23" i="1"/>
  <c r="M24" i="5" s="1"/>
  <c r="G90" i="5" s="1"/>
  <c r="G34" i="5"/>
  <c r="G15" i="5"/>
  <c r="AD45" i="1"/>
  <c r="M46" i="5" s="1"/>
  <c r="G112" i="5" s="1"/>
  <c r="G32" i="5"/>
  <c r="G29" i="5"/>
  <c r="AD36" i="1"/>
  <c r="M37" i="5" s="1"/>
  <c r="G103" i="5" s="1"/>
  <c r="E23" i="2"/>
  <c r="E25" i="2" s="1"/>
  <c r="C11" i="2" s="1"/>
  <c r="AD35" i="1"/>
  <c r="M36" i="5" s="1"/>
  <c r="G102" i="5" s="1"/>
  <c r="AD16" i="1"/>
  <c r="M17" i="5" s="1"/>
  <c r="G83" i="5" s="1"/>
  <c r="AD55" i="1"/>
  <c r="M56" i="5" s="1"/>
  <c r="G122" i="5" s="1"/>
  <c r="G16" i="5"/>
  <c r="G9" i="5"/>
  <c r="AD17" i="1"/>
  <c r="M18" i="5" s="1"/>
  <c r="G84" i="5" s="1"/>
  <c r="G47" i="5"/>
  <c r="AD32" i="1"/>
  <c r="M33" i="5" s="1"/>
  <c r="G99" i="5" s="1"/>
  <c r="AD20" i="1"/>
  <c r="M21" i="5" s="1"/>
  <c r="G87" i="5" s="1"/>
  <c r="G26" i="5"/>
  <c r="AD8" i="1"/>
  <c r="G25" i="5"/>
  <c r="G42" i="5"/>
  <c r="AD41" i="1"/>
  <c r="M42" i="5" s="1"/>
  <c r="G108" i="5" s="1"/>
  <c r="G23" i="5"/>
  <c r="AD18" i="1"/>
  <c r="M19" i="5" s="1"/>
  <c r="G85" i="5" s="1"/>
  <c r="G35" i="5"/>
  <c r="G39" i="5"/>
  <c r="K10" i="5"/>
  <c r="AD9" i="1"/>
  <c r="M10" i="5" s="1"/>
  <c r="G76" i="5" s="1"/>
  <c r="L80" i="8"/>
  <c r="L81" i="8" s="1"/>
  <c r="AD26" i="1"/>
  <c r="M27" i="5" s="1"/>
  <c r="G93" i="5" s="1"/>
  <c r="G27" i="5"/>
  <c r="AD30" i="1"/>
  <c r="M31" i="5" s="1"/>
  <c r="G97" i="5" s="1"/>
  <c r="G31" i="5"/>
  <c r="AD42" i="1"/>
  <c r="M43" i="5" s="1"/>
  <c r="G109" i="5" s="1"/>
  <c r="G43" i="5"/>
  <c r="S77" i="7" l="1"/>
  <c r="T76" i="7"/>
  <c r="T77" i="7" s="1"/>
  <c r="M9" i="5"/>
  <c r="G75" i="5" s="1"/>
  <c r="A12" i="2"/>
</calcChain>
</file>

<file path=xl/sharedStrings.xml><?xml version="1.0" encoding="utf-8"?>
<sst xmlns="http://schemas.openxmlformats.org/spreadsheetml/2006/main" count="981" uniqueCount="550">
  <si>
    <t>RFC</t>
  </si>
  <si>
    <t>CURP</t>
  </si>
  <si>
    <t>IMSS</t>
  </si>
  <si>
    <t>CARGO</t>
  </si>
  <si>
    <t>IMPORTE</t>
  </si>
  <si>
    <t>LIM. INF.</t>
  </si>
  <si>
    <t>EXE. L.I.</t>
  </si>
  <si>
    <t>% L.I.</t>
  </si>
  <si>
    <t>IMP. MARGINAL</t>
  </si>
  <si>
    <t>C. FIJA</t>
  </si>
  <si>
    <t>SUB. EMPLEO</t>
  </si>
  <si>
    <t>ENFERMEDADES Y MATERNIDAD</t>
  </si>
  <si>
    <t>TOTAL</t>
  </si>
  <si>
    <t>PATRON</t>
  </si>
  <si>
    <t>INFONAVIT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</si>
  <si>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</si>
  <si>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</si>
  <si>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</si>
  <si>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</si>
  <si>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</si>
  <si>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</si>
  <si>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</si>
  <si>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</si>
  <si>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</si>
  <si>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</si>
  <si>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</si>
  <si>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</si>
  <si>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TOTAL A PERCIBIR</t>
  </si>
  <si>
    <t>NOMBRE:</t>
  </si>
  <si>
    <t>R.F.C.</t>
  </si>
  <si>
    <t>REG. IMSS</t>
  </si>
  <si>
    <t>FIRMA DEL TRABAJADOR</t>
  </si>
  <si>
    <t>NUM. TRAB.</t>
  </si>
  <si>
    <t>PUESTO:</t>
  </si>
  <si>
    <t>REGISTRO PATRONAL</t>
  </si>
  <si>
    <t>DIRECCION:</t>
  </si>
  <si>
    <t>RECIBI LA CANTIDAD DE:</t>
  </si>
  <si>
    <t>REPORTE DE NOMINAS</t>
  </si>
  <si>
    <t>SUB-EMP</t>
  </si>
  <si>
    <t>I.S.R.</t>
  </si>
  <si>
    <t>NUM.</t>
  </si>
  <si>
    <t>NOMBRE DEL TRABAJADOR</t>
  </si>
  <si>
    <t>REPORTE DE NOMINA COMPLEMENTARIA</t>
  </si>
  <si>
    <t>RECIBI DE CONFORMIDAD</t>
  </si>
  <si>
    <t>ELABORO</t>
  </si>
  <si>
    <t>AUTORIZO</t>
  </si>
  <si>
    <t>SUELDO</t>
  </si>
  <si>
    <t xml:space="preserve">NOMINA </t>
  </si>
  <si>
    <t>OTROS GAST.</t>
  </si>
  <si>
    <t>OTROS DED.</t>
  </si>
  <si>
    <t>OTRAS GRAT.</t>
  </si>
  <si>
    <t>OTRAS DED.</t>
  </si>
  <si>
    <t>MENSUAL</t>
  </si>
  <si>
    <t>ENE-FEB</t>
  </si>
  <si>
    <t>MAR-ABR</t>
  </si>
  <si>
    <t>MAY-JUN</t>
  </si>
  <si>
    <t>JUL-AGO</t>
  </si>
  <si>
    <t>SEP-OCT</t>
  </si>
  <si>
    <t>NOV-DIC</t>
  </si>
  <si>
    <t>MES</t>
  </si>
  <si>
    <t>DIA</t>
  </si>
  <si>
    <t>BIMESTRE</t>
  </si>
  <si>
    <t>DIAS</t>
  </si>
  <si>
    <t>BIMESTRAL</t>
  </si>
  <si>
    <t>UMA</t>
  </si>
  <si>
    <t>3 VECES UMA</t>
  </si>
  <si>
    <t>S.M.G.</t>
  </si>
  <si>
    <t>FRONTERA</t>
  </si>
  <si>
    <t>FEDERAL</t>
  </si>
  <si>
    <t>ART. 28 LSS</t>
  </si>
  <si>
    <t>Clave</t>
  </si>
  <si>
    <t>Nombre del trabajador</t>
  </si>
  <si>
    <t>NSS</t>
  </si>
  <si>
    <t>Fecha de Alta</t>
  </si>
  <si>
    <t xml:space="preserve">         1</t>
  </si>
  <si>
    <t>CESAR ABNER TRUJILLO ESTRADA</t>
  </si>
  <si>
    <t>7078605396</t>
  </si>
  <si>
    <t>TUEC8602065C1</t>
  </si>
  <si>
    <t>TUEC860206HDFRSS03</t>
  </si>
  <si>
    <t xml:space="preserve">         3</t>
  </si>
  <si>
    <t>JOSE ANTONIO ESTRADA ROMERO</t>
  </si>
  <si>
    <t>11947307382</t>
  </si>
  <si>
    <t>EARA730128KI5</t>
  </si>
  <si>
    <t>EARA730128HDFSMN01</t>
  </si>
  <si>
    <t xml:space="preserve">         9</t>
  </si>
  <si>
    <t>ERIC GUSTAVO ESTRADA ESTRADA</t>
  </si>
  <si>
    <t>39028216297</t>
  </si>
  <si>
    <t>EAEE82041878A</t>
  </si>
  <si>
    <t>EAEE820418HDFSSR08</t>
  </si>
  <si>
    <t xml:space="preserve">        15</t>
  </si>
  <si>
    <t>EVA SUSANA MANJARREZ CAMACHO</t>
  </si>
  <si>
    <t>39957323668</t>
  </si>
  <si>
    <t>MACE730427QP8</t>
  </si>
  <si>
    <t>MACE730427MDFNMV02</t>
  </si>
  <si>
    <t xml:space="preserve">        23</t>
  </si>
  <si>
    <t>JORGE ALFONSO TAPIA DOMINGUEZ</t>
  </si>
  <si>
    <t>39098710864</t>
  </si>
  <si>
    <t>TADJ8708041S4</t>
  </si>
  <si>
    <t>TADJ870804HDFPMR01</t>
  </si>
  <si>
    <t xml:space="preserve">        28</t>
  </si>
  <si>
    <t>GABRIEL ESTRADA PABELLO</t>
  </si>
  <si>
    <t>11977941902</t>
  </si>
  <si>
    <t>EAPG7905263L3</t>
  </si>
  <si>
    <t>EAPG790526HDFSBB09</t>
  </si>
  <si>
    <t xml:space="preserve">        43</t>
  </si>
  <si>
    <t>MARIA ANGELICA HERNANDEZ ROJAS</t>
  </si>
  <si>
    <t>39937231387</t>
  </si>
  <si>
    <t>HERA720223J87</t>
  </si>
  <si>
    <t>HERA720223MDFRJN03</t>
  </si>
  <si>
    <t xml:space="preserve">       133</t>
  </si>
  <si>
    <t>CESAR ROBERTO MEDINA ROMERO</t>
  </si>
  <si>
    <t>1109306629</t>
  </si>
  <si>
    <t>MERC930527V20</t>
  </si>
  <si>
    <t>MERC930527HDFDMS08</t>
  </si>
  <si>
    <t xml:space="preserve">       157</t>
  </si>
  <si>
    <t>ERIK RICARDO RAMIREZ SOTO</t>
  </si>
  <si>
    <t>96088833718</t>
  </si>
  <si>
    <t>RASE880911SK7</t>
  </si>
  <si>
    <t>RASE880911HMCMTR28</t>
  </si>
  <si>
    <t xml:space="preserve">       181</t>
  </si>
  <si>
    <t>VERONICA PLACIDO ESTRADA</t>
  </si>
  <si>
    <t>7907002443</t>
  </si>
  <si>
    <t>PAEV700726NB4</t>
  </si>
  <si>
    <t>PAEV700726MDFLSR07</t>
  </si>
  <si>
    <t xml:space="preserve">       207</t>
  </si>
  <si>
    <t>MARIA DEL ROCIO HERNANDEZ CHINOS</t>
  </si>
  <si>
    <t>2157397924</t>
  </si>
  <si>
    <t>HECR730127IQ5</t>
  </si>
  <si>
    <t>HECR730127MMSRHC05</t>
  </si>
  <si>
    <t xml:space="preserve">       208</t>
  </si>
  <si>
    <t>DANIEL MARTINEZ RODRIGUEZ</t>
  </si>
  <si>
    <t>30109309259</t>
  </si>
  <si>
    <t>MARD9309029V9</t>
  </si>
  <si>
    <t>MARD930902HDFRDN01</t>
  </si>
  <si>
    <t xml:space="preserve">       227</t>
  </si>
  <si>
    <t>HECTOR ABRAHAM SANTA FE CHAVEZ</t>
  </si>
  <si>
    <t>18149299788</t>
  </si>
  <si>
    <t>SACH920618U80</t>
  </si>
  <si>
    <t>SACH920618HDFNHC05</t>
  </si>
  <si>
    <t xml:space="preserve">       251</t>
  </si>
  <si>
    <t>ALEJANDRA SOLIS RUIZ</t>
  </si>
  <si>
    <t>26169732034</t>
  </si>
  <si>
    <t>SORA970109IH1</t>
  </si>
  <si>
    <t>SORA970109MDFLZL07</t>
  </si>
  <si>
    <t xml:space="preserve">       274</t>
  </si>
  <si>
    <t>EDUARDO JAVIER ANTONIO BECERRIL</t>
  </si>
  <si>
    <t>14119609775</t>
  </si>
  <si>
    <t>AOBE960907973</t>
  </si>
  <si>
    <t>AOBE960907HDFNCD04</t>
  </si>
  <si>
    <t xml:space="preserve">       316</t>
  </si>
  <si>
    <t>MONTSERRAT HIGUERA SUNYOL</t>
  </si>
  <si>
    <t>45088807156</t>
  </si>
  <si>
    <t>HISM8805115U4</t>
  </si>
  <si>
    <t>HISM880511MDFGNN06</t>
  </si>
  <si>
    <t xml:space="preserve">       323</t>
  </si>
  <si>
    <t>HECTOR DANIEL ORIA NIETO</t>
  </si>
  <si>
    <t>92129439367</t>
  </si>
  <si>
    <t>OINH940624SZ0</t>
  </si>
  <si>
    <t>OINH940624HJCRTC04</t>
  </si>
  <si>
    <t xml:space="preserve">       358</t>
  </si>
  <si>
    <t>JOSE MARCELO RODRIGUEZ VAZQUEZ</t>
  </si>
  <si>
    <t>1037903075</t>
  </si>
  <si>
    <t>ROVM7908116R5</t>
  </si>
  <si>
    <t>ROVM790811HDFDZR07</t>
  </si>
  <si>
    <t xml:space="preserve">       377</t>
  </si>
  <si>
    <t>VANESSA GARCIA CRUZ</t>
  </si>
  <si>
    <t>39119518528</t>
  </si>
  <si>
    <t>GACV9512233N4</t>
  </si>
  <si>
    <t>GACV951223MDFRRN00</t>
  </si>
  <si>
    <t xml:space="preserve">       382</t>
  </si>
  <si>
    <t>MIRIAM GUADALUPE NERI BECERRIL</t>
  </si>
  <si>
    <t>3179088640</t>
  </si>
  <si>
    <t>NEBM9002035N5</t>
  </si>
  <si>
    <t>NEBM900203MDFRCR08</t>
  </si>
  <si>
    <t xml:space="preserve">       398</t>
  </si>
  <si>
    <t>JOSE ARMANDO OROZCO CASTILLO</t>
  </si>
  <si>
    <t>45159813687</t>
  </si>
  <si>
    <t>OOCA981129J47</t>
  </si>
  <si>
    <t>OOCA981129HDFRSR02</t>
  </si>
  <si>
    <t xml:space="preserve">       400</t>
  </si>
  <si>
    <t>LANOLYN ALONDRA MARTINEZ RODRIGUEZ</t>
  </si>
  <si>
    <t>39139718595</t>
  </si>
  <si>
    <t>MARL9711211K2</t>
  </si>
  <si>
    <t>MARL971121MDFRDN04</t>
  </si>
  <si>
    <t xml:space="preserve">       403</t>
  </si>
  <si>
    <t>WENDY KARINA NAJERA VILLAFAÑA</t>
  </si>
  <si>
    <t>39129005318</t>
  </si>
  <si>
    <t>NAVW900811VD3</t>
  </si>
  <si>
    <t>NAVW900811MDFJLN01</t>
  </si>
  <si>
    <t xml:space="preserve">       423</t>
  </si>
  <si>
    <t>DIANA ANDREA MOYA MANRIQUE</t>
  </si>
  <si>
    <t>39149935999</t>
  </si>
  <si>
    <t>MOMD9902126G2</t>
  </si>
  <si>
    <t>MOMD990212MDFYNN06</t>
  </si>
  <si>
    <t xml:space="preserve">       425</t>
  </si>
  <si>
    <t>UZZIEL OSMAR PIÑA CABALLERO</t>
  </si>
  <si>
    <t>45109513908</t>
  </si>
  <si>
    <t>PICU950611N87</t>
  </si>
  <si>
    <t>PICU950611HDFXBZ04</t>
  </si>
  <si>
    <t xml:space="preserve">       426</t>
  </si>
  <si>
    <t>CLAUDIA COLUMBA RODRIGUEZ DIAZ</t>
  </si>
  <si>
    <t>20917243774</t>
  </si>
  <si>
    <t>RODC7205202E9</t>
  </si>
  <si>
    <t>RODC720520MDFDZL05</t>
  </si>
  <si>
    <t xml:space="preserve">       440</t>
  </si>
  <si>
    <t>AXEL MANUEL OROZCO CASTILLO</t>
  </si>
  <si>
    <t>25149337872</t>
  </si>
  <si>
    <t>OOCA930506E92</t>
  </si>
  <si>
    <t>OOCA930506HDFRSX04</t>
  </si>
  <si>
    <t xml:space="preserve">       441</t>
  </si>
  <si>
    <t>ALONSO NAHUI GUZMAN NAVA</t>
  </si>
  <si>
    <t>45149958212</t>
  </si>
  <si>
    <t>GUNA990904QT1</t>
  </si>
  <si>
    <t>GUNA990904HDFZVL01</t>
  </si>
  <si>
    <t xml:space="preserve">       464</t>
  </si>
  <si>
    <t>MARIA DEL CARMEN GUERRA HERNANDEZ</t>
  </si>
  <si>
    <t>45139314913</t>
  </si>
  <si>
    <t>GUHC930711HI3</t>
  </si>
  <si>
    <t>GUHC930711MPLRRR02</t>
  </si>
  <si>
    <t xml:space="preserve">       481</t>
  </si>
  <si>
    <t>VIRIDIAN ALVAREZ RODRIGUEZ</t>
  </si>
  <si>
    <t>45139745496</t>
  </si>
  <si>
    <t>AARV970103JZ4</t>
  </si>
  <si>
    <t>AARV970103MDFLDR09</t>
  </si>
  <si>
    <t xml:space="preserve">       491</t>
  </si>
  <si>
    <t>ALEJANDRA HERNANDEZ JUAREZ</t>
  </si>
  <si>
    <t>8159669533</t>
  </si>
  <si>
    <t>HEJA9604106P9</t>
  </si>
  <si>
    <t>HEJA960410MDFRRL02</t>
  </si>
  <si>
    <t xml:space="preserve">       513</t>
  </si>
  <si>
    <t>ARACELI ESTRADA ROMERO</t>
  </si>
  <si>
    <t>6836500915</t>
  </si>
  <si>
    <t>EARA651013IC7</t>
  </si>
  <si>
    <t>EARA651013MDFSMR08</t>
  </si>
  <si>
    <t xml:space="preserve">       514</t>
  </si>
  <si>
    <t>KARLA AURORA BRAVO DOMINGUEZ</t>
  </si>
  <si>
    <t>39139818106</t>
  </si>
  <si>
    <t>BADK9802134D7</t>
  </si>
  <si>
    <t>BADK980213MVZRMR07</t>
  </si>
  <si>
    <t xml:space="preserve">       518</t>
  </si>
  <si>
    <t>CARLOS JOHAN REYES RODRIGUEZ</t>
  </si>
  <si>
    <t>39149938894</t>
  </si>
  <si>
    <t>RERC990217GTA</t>
  </si>
  <si>
    <t>RERC990217HDFYDR04</t>
  </si>
  <si>
    <t xml:space="preserve">       522</t>
  </si>
  <si>
    <t>JESUS GARRIDO TELLEZ</t>
  </si>
  <si>
    <t>2179442773</t>
  </si>
  <si>
    <t>GATJ940123E89</t>
  </si>
  <si>
    <t>GATJ940123HDFRLS03</t>
  </si>
  <si>
    <t xml:space="preserve">       530</t>
  </si>
  <si>
    <t>LUIS ALAN CERVANTES CONTRERAS</t>
  </si>
  <si>
    <t>62169926607</t>
  </si>
  <si>
    <t>CECL990212N35</t>
  </si>
  <si>
    <t>CECL990212HDFRNS00</t>
  </si>
  <si>
    <t xml:space="preserve">       541</t>
  </si>
  <si>
    <t>VALERIA TOVAR CASTILLO</t>
  </si>
  <si>
    <t>39149706077</t>
  </si>
  <si>
    <t>TOCV971204C11</t>
  </si>
  <si>
    <t>TOCV971204MDFVSL00</t>
  </si>
  <si>
    <t xml:space="preserve">       547</t>
  </si>
  <si>
    <t>KAREN ITZEL REYES PEREZ</t>
  </si>
  <si>
    <t>39090000520</t>
  </si>
  <si>
    <t>REPK000920N55</t>
  </si>
  <si>
    <t>REPK000920MDFYRRA5</t>
  </si>
  <si>
    <t xml:space="preserve">       550</t>
  </si>
  <si>
    <t>CITLALY ODET ORDOÑEZ CORONA</t>
  </si>
  <si>
    <t>39139563272</t>
  </si>
  <si>
    <t>OOCC9502211D3</t>
  </si>
  <si>
    <t>OOCC950221MDFRRT10</t>
  </si>
  <si>
    <t xml:space="preserve">       552</t>
  </si>
  <si>
    <t>SEBASTIAN CHAVEZ GOMEZ</t>
  </si>
  <si>
    <t>46160032697</t>
  </si>
  <si>
    <t>CAGS000214DG1</t>
  </si>
  <si>
    <t>CAGS000214HDFHMBA2</t>
  </si>
  <si>
    <t xml:space="preserve">       554</t>
  </si>
  <si>
    <t>MICHAEL ANGELLO BRAVO DOMINGUEZ</t>
  </si>
  <si>
    <t>39139419202</t>
  </si>
  <si>
    <t>BADM9402052Y0</t>
  </si>
  <si>
    <t>BADM940205HVZRMC09</t>
  </si>
  <si>
    <t xml:space="preserve">       566</t>
  </si>
  <si>
    <t>CRISTINA YOVANNE SANTANA TAPIA</t>
  </si>
  <si>
    <t>38149322208</t>
  </si>
  <si>
    <t>SATC930618MY4</t>
  </si>
  <si>
    <t>SATC930618MDFNPR05</t>
  </si>
  <si>
    <t xml:space="preserve">       567</t>
  </si>
  <si>
    <t>MARIA ISABEL MONTALVO CONTRERAS</t>
  </si>
  <si>
    <t>11987202311</t>
  </si>
  <si>
    <t>MOCI720615VBA</t>
  </si>
  <si>
    <t>MOCI720615MDFNNS01</t>
  </si>
  <si>
    <t xml:space="preserve">       573</t>
  </si>
  <si>
    <t>MARIA FERNANDA CORTES VAZQUEZ</t>
  </si>
  <si>
    <t>5149792730</t>
  </si>
  <si>
    <t>COVF970320FA0</t>
  </si>
  <si>
    <t>COVF970320MDFRZR07</t>
  </si>
  <si>
    <t xml:space="preserve">       576</t>
  </si>
  <si>
    <t>ADRIANA LUCIA ESCOBEDO MAGDALENO</t>
  </si>
  <si>
    <t>39119248225</t>
  </si>
  <si>
    <t>EOMA920926TV3</t>
  </si>
  <si>
    <t>EOMA920926MDFSGD01</t>
  </si>
  <si>
    <t xml:space="preserve">       587</t>
  </si>
  <si>
    <t>ELIA LEON MEJIA</t>
  </si>
  <si>
    <t>39129737803</t>
  </si>
  <si>
    <t>LEME970216RH3</t>
  </si>
  <si>
    <t>LEME970216MDFNJL08</t>
  </si>
  <si>
    <t xml:space="preserve">       590</t>
  </si>
  <si>
    <t>XIMENA VIRIDIANA MORA GONZALEZ</t>
  </si>
  <si>
    <t>12130135168</t>
  </si>
  <si>
    <t>MOGX011003PI0</t>
  </si>
  <si>
    <t>MOGX011003MDFRNMA6</t>
  </si>
  <si>
    <t xml:space="preserve">       600</t>
  </si>
  <si>
    <t>NOEMI DOLORES CORREA</t>
  </si>
  <si>
    <t>39139404220</t>
  </si>
  <si>
    <t>DOCN940114MR7</t>
  </si>
  <si>
    <t>DOCN940114MDFLRM09</t>
  </si>
  <si>
    <t xml:space="preserve">       602</t>
  </si>
  <si>
    <t>ALLAN MARTINEZ ALONSO</t>
  </si>
  <si>
    <t>02179526492</t>
  </si>
  <si>
    <t>MAAA951006CF2</t>
  </si>
  <si>
    <t>MAAA951006HMCRLL08</t>
  </si>
  <si>
    <t xml:space="preserve">       604</t>
  </si>
  <si>
    <t>ILIANA NALLELY ESTRADA ESTRADA</t>
  </si>
  <si>
    <t>39078703145</t>
  </si>
  <si>
    <t>EAEI8712092X9</t>
  </si>
  <si>
    <t>EAEI871209MDFSSL05</t>
  </si>
  <si>
    <t xml:space="preserve">       605</t>
  </si>
  <si>
    <t>ESTEFANIA NAVARRO BAEZ</t>
  </si>
  <si>
    <t>39109318376</t>
  </si>
  <si>
    <t>NABE930314EE8</t>
  </si>
  <si>
    <t>NABE930314MDFVZS08</t>
  </si>
  <si>
    <t xml:space="preserve">       607</t>
  </si>
  <si>
    <t>MARILYN   MORA ESCALANTE</t>
  </si>
  <si>
    <t>42109106403</t>
  </si>
  <si>
    <t>MOEM911206GB4</t>
  </si>
  <si>
    <t>MOEM911206MTLRSR14</t>
  </si>
  <si>
    <t xml:space="preserve">       609</t>
  </si>
  <si>
    <t>SALMA   RUIZ AGUILAR</t>
  </si>
  <si>
    <t>39149940114</t>
  </si>
  <si>
    <t>RUAS9906277IA</t>
  </si>
  <si>
    <t>RUAS990627MDFZGL08</t>
  </si>
  <si>
    <t>Salario Diario
COTIZACION</t>
  </si>
  <si>
    <t>AUS</t>
  </si>
  <si>
    <t>INC</t>
  </si>
  <si>
    <t>DIAS NETOS</t>
  </si>
  <si>
    <t>CUOTA FIJA
ART.106 F. I LSS</t>
  </si>
  <si>
    <t>EXCEDENTE SBC
ART. 106 F. II LSS</t>
  </si>
  <si>
    <t>TRABAJADOR</t>
  </si>
  <si>
    <t>PRESTACION DE DINEROS
ART. 107 F. I LSS</t>
  </si>
  <si>
    <t>GASTOS MEDICOS PENSIONADOS
ART. 25 P 2 LSS</t>
  </si>
  <si>
    <t>INVALIDEZ Y VIDA
ART. 112 AL 151 LSS</t>
  </si>
  <si>
    <t>RT
CASLE ART. 73 LSS RLSS ART. 96</t>
  </si>
  <si>
    <t>CLASE DE RIESGO DE TRABAJO</t>
  </si>
  <si>
    <t>CLASE I</t>
  </si>
  <si>
    <t>CLASE III</t>
  </si>
  <si>
    <t>CLASE IV</t>
  </si>
  <si>
    <t>CLASE V</t>
  </si>
  <si>
    <t>Prima media</t>
  </si>
  <si>
    <t>En porcentajes</t>
  </si>
  <si>
    <t>Clase II</t>
  </si>
  <si>
    <t>Cada una de estas clases a su vez están subdivididas, como la imagen siguiente:</t>
  </si>
  <si>
    <t>Catálogo de actividades</t>
  </si>
  <si>
    <t>Clasificación de la prima de riesgo</t>
  </si>
  <si>
    <t>GUARDERIAS
ART. 11 LSS
201 HASTA 207 RF</t>
  </si>
  <si>
    <t>SUMAS</t>
  </si>
  <si>
    <t>ABONO</t>
  </si>
  <si>
    <t>CONCEPTO</t>
  </si>
  <si>
    <t>CONTABLES</t>
  </si>
  <si>
    <t>GASTOS GENERALES</t>
  </si>
  <si>
    <t>IMPUESTOS X PAGAR</t>
  </si>
  <si>
    <t>CUOTA TRABAJADOR</t>
  </si>
  <si>
    <t>CUOTA IMSS PATRONAL</t>
  </si>
  <si>
    <t>BANCOS</t>
  </si>
  <si>
    <t>CENSATIA Y VEJEZ</t>
  </si>
  <si>
    <t>CREDITO VIVIENDA TRABAJADO</t>
  </si>
  <si>
    <t>SAR</t>
  </si>
  <si>
    <t>CV</t>
  </si>
  <si>
    <t>CUOTA OBRERA</t>
  </si>
  <si>
    <t>IMPUESTOS DEDUCIBLES PARA ISR</t>
  </si>
  <si>
    <t>INFONAVIT OBRERO</t>
  </si>
  <si>
    <t>AGUINALDO</t>
  </si>
  <si>
    <t>VACACIONES</t>
  </si>
  <si>
    <t>INICIA</t>
  </si>
  <si>
    <t>TERMINA</t>
  </si>
  <si>
    <t>QUINCENAL</t>
  </si>
  <si>
    <t>SEMANAL</t>
  </si>
  <si>
    <t>ANUAL</t>
  </si>
  <si>
    <t>Tarifa que incluye el subsidio para el empleo, aplicable a la tarifa de retenciones diarias de ISR.</t>
  </si>
  <si>
    <t>Límite superior</t>
  </si>
  <si>
    <t>Cuota fija</t>
  </si>
  <si>
    <t>Por ciento para aplicarse sobre el excedente del límite inferior 1</t>
  </si>
  <si>
    <t>$</t>
  </si>
  <si>
    <t>%</t>
  </si>
  <si>
    <t>En adelante</t>
  </si>
  <si>
    <t>Tarifa que incluye el subsidio para el empleo, aplicable a la tarifa de retenciones semanal de ISR.</t>
  </si>
  <si>
    <t>Tarifa que incluye el subsidio para el empleo, aplicable a la tarifa de retenciones mensual de ISR.</t>
  </si>
  <si>
    <t>Tarifa que incluye el subsidio para el empleo, aplicable a la tarifa de retenciones decena de ISR.</t>
  </si>
  <si>
    <t>Tarifa que incluye el subsidio para el empleo, aplicable a la tarifa de retenciones quincenal de ISR.</t>
  </si>
  <si>
    <t>Límite inferior</t>
  </si>
  <si>
    <t>Tarifa que incluye el subsidio para el empleo, aplicable a la tarifa de retenciones anual de ISR.</t>
  </si>
  <si>
    <t>TARIFA ANUAL</t>
  </si>
  <si>
    <t>TARIFA MENSUAL</t>
  </si>
  <si>
    <t>TARIFA QUINCENAL</t>
  </si>
  <si>
    <t>TARIFA DECENA</t>
  </si>
  <si>
    <t>TARIFA SEMANAL</t>
  </si>
  <si>
    <t>TARIFA DIARIA</t>
  </si>
  <si>
    <t>Para ingresos de</t>
  </si>
  <si>
    <t>Hasta ingresos de</t>
  </si>
  <si>
    <t>Cantidad de subsidio para el empleo mensual</t>
  </si>
  <si>
    <t>Cantidad de subsidio para el empleo quincenal</t>
  </si>
  <si>
    <t>Cantidad de subsidio para el empleo decenal</t>
  </si>
  <si>
    <t>Cantidad de subsidio para el empleo semanal</t>
  </si>
  <si>
    <t>Cantidad de subsidio para el empleo diario</t>
  </si>
  <si>
    <t>SUBSIDIO MENSUAL</t>
  </si>
  <si>
    <t>SUBSIDIO QUINCENAL</t>
  </si>
  <si>
    <t>SUBSIDIO SEMANAL</t>
  </si>
  <si>
    <t>SUBSIDIO DIARIO</t>
  </si>
  <si>
    <t>SUBSIDIO ANUAL</t>
  </si>
  <si>
    <t>SUBSIDIO DECENAL</t>
  </si>
  <si>
    <t>TIPO NOMINA</t>
  </si>
  <si>
    <t>BASE GRAVABLE</t>
  </si>
  <si>
    <t>LIMITE INFERIOR</t>
  </si>
  <si>
    <t>( - )</t>
  </si>
  <si>
    <t>( = )</t>
  </si>
  <si>
    <t>EXCEDENTE LIMITE INFERIOR</t>
  </si>
  <si>
    <t>( X )</t>
  </si>
  <si>
    <t>TASA DE I.S.R.</t>
  </si>
  <si>
    <t>ISR S/EXCEDENTE LIMITE INFERIOR</t>
  </si>
  <si>
    <t>( + )</t>
  </si>
  <si>
    <t>CUOTA FIJA</t>
  </si>
  <si>
    <t>ISR A CARGO</t>
  </si>
  <si>
    <t>SUBSIDIO AL EMPLEO</t>
  </si>
  <si>
    <t>SUBSIDIO PARA EL EMPLEO CORRESPONDIENTE</t>
  </si>
  <si>
    <t>A PAGAR</t>
  </si>
  <si>
    <t>DIARIA</t>
  </si>
  <si>
    <t>NOMINA</t>
  </si>
  <si>
    <t>SUBSIDIO</t>
  </si>
  <si>
    <t>DECENAL</t>
  </si>
  <si>
    <t>SD</t>
  </si>
  <si>
    <t>SS</t>
  </si>
  <si>
    <t>SDL</t>
  </si>
  <si>
    <t>SQ</t>
  </si>
  <si>
    <t>SM</t>
  </si>
  <si>
    <t>SA</t>
  </si>
  <si>
    <t>SUELDOS Y SALARIOS</t>
  </si>
  <si>
    <t>IMPUESTOS POR PAGAR</t>
  </si>
  <si>
    <t>IMPUESTOS ISR SS</t>
  </si>
  <si>
    <t>DEBE</t>
  </si>
  <si>
    <t>HABER</t>
  </si>
  <si>
    <t>ASIENTOS CONTABLES</t>
  </si>
  <si>
    <t>ACTIVOS</t>
  </si>
  <si>
    <t>BALANCE</t>
  </si>
  <si>
    <t>RESULTADOS</t>
  </si>
  <si>
    <t>DEUDORA</t>
  </si>
  <si>
    <t>PASIVOS</t>
  </si>
  <si>
    <t>RESULTADO</t>
  </si>
  <si>
    <t>DEUDORES</t>
  </si>
  <si>
    <t>DESCRIPCION</t>
  </si>
  <si>
    <t>ISR DE SS</t>
  </si>
  <si>
    <t>RETIRO</t>
  </si>
  <si>
    <t>SAN FERNANDO 1971, COL. EL TORO, CP 10610, LA MAGDALENA CONTRERAS, CDMX.</t>
  </si>
  <si>
    <t>Y6461150101</t>
  </si>
  <si>
    <t>ABN-140430-347</t>
  </si>
  <si>
    <t>REBICO DE NOMINA</t>
  </si>
  <si>
    <t>TOTAL  NOMINA:</t>
  </si>
  <si>
    <t>NOMBRE COMPLETO</t>
  </si>
  <si>
    <t>ABNERIA, S.A. DE C.V.</t>
  </si>
  <si>
    <t>1° QUINCENA DEL 2020</t>
  </si>
  <si>
    <t>2° QUINCENA DEL 2020</t>
  </si>
  <si>
    <t>3° QUINCENA DEL 2020</t>
  </si>
  <si>
    <t>4° QUINCENA DEL 2020</t>
  </si>
  <si>
    <t>5° QUINCENA DEL 2020</t>
  </si>
  <si>
    <t>6° QUINCENA DEL 2020</t>
  </si>
  <si>
    <t>7° QUINCENA DEL 2020</t>
  </si>
  <si>
    <t>8° QUINCENA DEL 2020</t>
  </si>
  <si>
    <t>9° QUINCENA DEL 2020</t>
  </si>
  <si>
    <t>10° QUINCENA DEL 2020</t>
  </si>
  <si>
    <t>11° QUINCENA DEL 2020</t>
  </si>
  <si>
    <t>12° QUINCENA DEL 2020</t>
  </si>
  <si>
    <t>13° QUINCENA DEL 2020</t>
  </si>
  <si>
    <t>14° QUINCENA DEL 2020</t>
  </si>
  <si>
    <t>15° QUINCENA DEL 2020</t>
  </si>
  <si>
    <t>16° QUINCENA DEL 2020</t>
  </si>
  <si>
    <t>17° QUINCENA DEL 2020</t>
  </si>
  <si>
    <t>18° QUINCENA DEL 2020</t>
  </si>
  <si>
    <t>19° QUINCENA DEL 2020</t>
  </si>
  <si>
    <t>20° QUINCENA DEL 2020</t>
  </si>
  <si>
    <t>21° QUINCENA DEL 2020</t>
  </si>
  <si>
    <t>22° QUINCENA DEL 2020</t>
  </si>
  <si>
    <t>23° QUINCENA DEL 2020</t>
  </si>
  <si>
    <t>24° QUINCENA DEL 2020</t>
  </si>
  <si>
    <t xml:space="preserve">       610</t>
  </si>
  <si>
    <t>ROCIO PAOLA CALVA ANTONIO</t>
  </si>
  <si>
    <t>62169917671</t>
  </si>
  <si>
    <t>CAAR990826SF5</t>
  </si>
  <si>
    <t>CAAR990826MDFLNC09</t>
  </si>
  <si>
    <t xml:space="preserve">       611</t>
  </si>
  <si>
    <t>NORMA BELEN CASTILLO PEÑA</t>
  </si>
  <si>
    <t>39047500283</t>
  </si>
  <si>
    <t>CAPN750202EM0</t>
  </si>
  <si>
    <t>CAPN750202MDFSXR08</t>
  </si>
  <si>
    <t>Salario Diario</t>
  </si>
  <si>
    <t>Año laborando</t>
  </si>
  <si>
    <t>Factor de integración</t>
  </si>
  <si>
    <t>Salario Diario Integrado</t>
  </si>
  <si>
    <t>S.D.I.</t>
  </si>
  <si>
    <t>S.D.C.</t>
  </si>
  <si>
    <t>AÑOS</t>
  </si>
  <si>
    <t>÷</t>
  </si>
  <si>
    <t>IMP I.S.R.</t>
  </si>
  <si>
    <t>DEPARTAMENTOS</t>
  </si>
  <si>
    <t>SAN JERONIMO</t>
  </si>
  <si>
    <t>SSJ</t>
  </si>
  <si>
    <t>PEDREGAL</t>
  </si>
  <si>
    <t>SPD</t>
  </si>
  <si>
    <t>AJUSCO</t>
  </si>
  <si>
    <t>SAJ</t>
  </si>
  <si>
    <t>PICACHO</t>
  </si>
  <si>
    <t>SPC</t>
  </si>
  <si>
    <t>LUIS CABRERA</t>
  </si>
  <si>
    <t>SLC</t>
  </si>
  <si>
    <t>SAN FERNANDO</t>
  </si>
  <si>
    <t>SSF</t>
  </si>
  <si>
    <t>MIGUEL HIDALGO</t>
  </si>
  <si>
    <t>SMH</t>
  </si>
  <si>
    <t>**</t>
  </si>
  <si>
    <t>SN</t>
  </si>
  <si>
    <t>***</t>
  </si>
  <si>
    <t>OPERACIÓN</t>
  </si>
  <si>
    <t>OPE</t>
  </si>
  <si>
    <t>COORDINACION GENERAL</t>
  </si>
  <si>
    <t>CGE</t>
  </si>
  <si>
    <t>ADMINISTRACION CONTABILIDAD Y FINANZAS</t>
  </si>
  <si>
    <t>ACF</t>
  </si>
  <si>
    <t>ABASTECIMIENTO</t>
  </si>
  <si>
    <t>CAB</t>
  </si>
  <si>
    <t>FORMACION Y DESARROLLO DEL TALENTO HUMANO</t>
  </si>
  <si>
    <t>FYD</t>
  </si>
  <si>
    <t>MARKETINING PUBLICIDAD Y DISEÑO</t>
  </si>
  <si>
    <t>MPD</t>
  </si>
  <si>
    <t>SEMBRANDO CALIDAD Y COSECHANDO CULTURA</t>
  </si>
  <si>
    <t>SCCC</t>
  </si>
  <si>
    <t>OTROS I.</t>
  </si>
  <si>
    <t>OTROS D.</t>
  </si>
  <si>
    <t>SUC.</t>
  </si>
  <si>
    <t>CALCULO DEL ISR DE SUELDOS Y SALARIO 2020</t>
  </si>
  <si>
    <t>TARIFAS 2020 MEXICO</t>
  </si>
  <si>
    <t>RECIBÍ NOMINA CORRESPONDIENTE A LA QUINCENA</t>
  </si>
  <si>
    <t>AUSENCIAS</t>
  </si>
  <si>
    <t>INCAPACIDAD</t>
  </si>
  <si>
    <t>PRIMA VAC.</t>
  </si>
  <si>
    <t>SALMA  RUIZ AGUILAR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</si>
</sst>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0.000%"/>
    <numFmt numFmtId="166" formatCode="[$-F800]dddd\,\ mmmm\ dd\,\ yyyy"/>
  </numFmts>
  <fonts count="2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u/>
      <sz val="11"/>
      <color indexed="12"/>
      <name val="Calibri"/>
      <family val="2"/>
    </font>
    <font>
      <b/>
      <sz val="12"/>
      <color indexed="8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b/>
      <sz val="11"/>
      <name val="Calibri"/>
      <family val="2"/>
    </font>
    <font>
      <b/>
      <sz val="20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1E395B"/>
      <name val="MS Sans Serif"/>
    </font>
    <font>
      <sz val="11"/>
      <color theme="1"/>
      <name val="Calibri"/>
      <family val="2"/>
    </font>
    <font>
      <sz val="8"/>
      <color rgb="FF1E395B"/>
      <name val="MS Sans Serif"/>
      <family val="2"/>
    </font>
    <font>
      <sz val="11"/>
      <color theme="1"/>
      <name val="Verdana"/>
      <family val="2"/>
    </font>
    <font>
      <sz val="11"/>
      <color rgb="FF222222"/>
      <name val="Verdana"/>
      <family val="2"/>
    </font>
    <font>
      <sz val="20"/>
      <color rgb="FF111111"/>
      <name val="Arial"/>
      <family val="2"/>
    </font>
    <font>
      <b/>
      <sz val="10"/>
      <color theme="1"/>
      <name val="Arial"/>
      <family val="2"/>
    </font>
    <font>
      <sz val="14"/>
      <color rgb="FF333333"/>
      <name val="Helvetica"/>
      <family val="2"/>
    </font>
    <font>
      <sz val="10.5"/>
      <color theme="1"/>
      <name val="Verdana"/>
      <family val="2"/>
    </font>
    <font>
      <b/>
      <sz val="10"/>
      <color theme="0"/>
      <name val="Arial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FE9F5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6FB"/>
        <bgColor indexed="8"/>
      </patternFill>
    </fill>
    <fill>
      <patternFill patternType="solid">
        <fgColor rgb="FFFBFBF3"/>
        <bgColor indexed="8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/>
      <diagonal/>
    </border>
    <border>
      <left style="thin">
        <color rgb="FFA0A0A0"/>
      </left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/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 style="medium">
        <color rgb="FFEDEDED"/>
      </right>
      <top/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/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5">
    <xf numFmtId="0" fontId="0" fillId="0" borderId="0" xfId="0"/>
    <xf numFmtId="4" fontId="0" fillId="0" borderId="0" xfId="0" applyNumberFormat="1"/>
    <xf numFmtId="43" fontId="9" fillId="0" borderId="0" xfId="3" applyFont="1"/>
    <xf numFmtId="43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43" fontId="0" fillId="0" borderId="0" xfId="0" applyNumberFormat="1" applyBorder="1"/>
    <xf numFmtId="14" fontId="0" fillId="0" borderId="0" xfId="0" applyNumberFormat="1"/>
    <xf numFmtId="0" fontId="0" fillId="0" borderId="1" xfId="0" applyBorder="1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2" xfId="0" applyBorder="1"/>
    <xf numFmtId="0" fontId="2" fillId="0" borderId="2" xfId="0" applyFont="1" applyBorder="1" applyAlignment="1">
      <alignment horizontal="center"/>
    </xf>
    <xf numFmtId="0" fontId="0" fillId="0" borderId="3" xfId="0" applyBorder="1"/>
    <xf numFmtId="43" fontId="0" fillId="0" borderId="2" xfId="0" applyNumberFormat="1" applyBorder="1"/>
    <xf numFmtId="0" fontId="0" fillId="0" borderId="4" xfId="0" applyBorder="1"/>
    <xf numFmtId="0" fontId="0" fillId="0" borderId="0" xfId="0" applyFill="1"/>
    <xf numFmtId="0" fontId="0" fillId="0" borderId="2" xfId="0" applyBorder="1" applyAlignment="1">
      <alignment horizontal="center"/>
    </xf>
    <xf numFmtId="0" fontId="8" fillId="0" borderId="2" xfId="0" applyFont="1" applyBorder="1"/>
    <xf numFmtId="43" fontId="8" fillId="0" borderId="2" xfId="0" applyNumberFormat="1" applyFont="1" applyBorder="1"/>
    <xf numFmtId="0" fontId="8" fillId="0" borderId="0" xfId="0" applyFont="1"/>
    <xf numFmtId="4" fontId="8" fillId="0" borderId="0" xfId="0" applyNumberFormat="1" applyFont="1"/>
    <xf numFmtId="43" fontId="8" fillId="0" borderId="0" xfId="3" applyFont="1"/>
    <xf numFmtId="43" fontId="8" fillId="0" borderId="0" xfId="0" applyNumberFormat="1" applyFont="1"/>
    <xf numFmtId="0" fontId="8" fillId="0" borderId="5" xfId="0" applyFont="1" applyBorder="1"/>
    <xf numFmtId="0" fontId="8" fillId="0" borderId="6" xfId="0" applyFont="1" applyBorder="1"/>
    <xf numFmtId="43" fontId="12" fillId="0" borderId="1" xfId="3" applyFont="1" applyBorder="1"/>
    <xf numFmtId="43" fontId="2" fillId="0" borderId="0" xfId="3" applyFont="1"/>
    <xf numFmtId="0" fontId="2" fillId="0" borderId="0" xfId="0" applyFont="1" applyBorder="1" applyAlignment="1">
      <alignment horizontal="center"/>
    </xf>
    <xf numFmtId="0" fontId="8" fillId="0" borderId="0" xfId="0" applyFont="1" applyBorder="1"/>
    <xf numFmtId="0" fontId="7" fillId="0" borderId="0" xfId="0" applyFont="1" applyAlignment="1">
      <alignment horizontal="center"/>
    </xf>
    <xf numFmtId="43" fontId="12" fillId="0" borderId="0" xfId="3" applyFont="1"/>
    <xf numFmtId="0" fontId="10" fillId="0" borderId="0" xfId="0" applyFont="1"/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/>
    <xf numFmtId="0" fontId="16" fillId="3" borderId="19" xfId="0" applyNumberFormat="1" applyFont="1" applyFill="1" applyBorder="1" applyAlignment="1" applyProtection="1">
      <alignment horizontal="left" vertical="top" wrapText="1"/>
    </xf>
    <xf numFmtId="0" fontId="16" fillId="3" borderId="20" xfId="0" applyNumberFormat="1" applyFont="1" applyFill="1" applyBorder="1" applyAlignment="1" applyProtection="1">
      <alignment horizontal="left" vertical="top" wrapText="1"/>
    </xf>
    <xf numFmtId="43" fontId="12" fillId="0" borderId="0" xfId="3" applyFont="1"/>
    <xf numFmtId="0" fontId="17" fillId="0" borderId="0" xfId="0" applyFont="1"/>
    <xf numFmtId="2" fontId="0" fillId="0" borderId="0" xfId="0" applyNumberFormat="1"/>
    <xf numFmtId="0" fontId="16" fillId="3" borderId="0" xfId="0" applyNumberFormat="1" applyFont="1" applyFill="1" applyBorder="1" applyAlignment="1" applyProtection="1">
      <alignment horizontal="left" vertical="top" wrapText="1"/>
    </xf>
    <xf numFmtId="10" fontId="18" fillId="3" borderId="2" xfId="5" applyNumberFormat="1" applyFont="1" applyFill="1" applyBorder="1" applyAlignment="1" applyProtection="1">
      <alignment horizontal="center" vertical="top" wrapText="1"/>
    </xf>
    <xf numFmtId="0" fontId="16" fillId="3" borderId="21" xfId="0" applyNumberFormat="1" applyFont="1" applyFill="1" applyBorder="1" applyAlignment="1" applyProtection="1">
      <alignment horizontal="left" vertical="top" wrapText="1"/>
    </xf>
    <xf numFmtId="0" fontId="16" fillId="3" borderId="2" xfId="0" applyNumberFormat="1" applyFont="1" applyFill="1" applyBorder="1" applyAlignment="1" applyProtection="1">
      <alignment horizontal="left" vertical="top" wrapText="1"/>
    </xf>
    <xf numFmtId="165" fontId="18" fillId="3" borderId="2" xfId="5" applyNumberFormat="1" applyFont="1" applyFill="1" applyBorder="1" applyAlignment="1" applyProtection="1">
      <alignment horizontal="center" vertical="top" wrapText="1"/>
    </xf>
    <xf numFmtId="0" fontId="19" fillId="0" borderId="22" xfId="0" applyFont="1" applyBorder="1" applyAlignment="1">
      <alignment wrapText="1"/>
    </xf>
    <xf numFmtId="0" fontId="20" fillId="0" borderId="0" xfId="0" applyFont="1"/>
    <xf numFmtId="0" fontId="21" fillId="0" borderId="0" xfId="0" applyFont="1"/>
    <xf numFmtId="0" fontId="6" fillId="0" borderId="0" xfId="2" applyAlignment="1" applyProtection="1"/>
    <xf numFmtId="10" fontId="16" fillId="3" borderId="2" xfId="5" applyNumberFormat="1" applyFont="1" applyFill="1" applyBorder="1" applyAlignment="1" applyProtection="1">
      <alignment horizontal="center" vertical="center" wrapText="1"/>
    </xf>
    <xf numFmtId="165" fontId="16" fillId="3" borderId="2" xfId="5" applyNumberFormat="1" applyFont="1" applyFill="1" applyBorder="1" applyAlignment="1" applyProtection="1">
      <alignment horizontal="center" vertical="center" wrapText="1"/>
    </xf>
    <xf numFmtId="43" fontId="15" fillId="0" borderId="0" xfId="3" applyFont="1"/>
    <xf numFmtId="0" fontId="15" fillId="0" borderId="0" xfId="0" applyFont="1"/>
    <xf numFmtId="0" fontId="15" fillId="0" borderId="0" xfId="0" applyFont="1" applyAlignment="1">
      <alignment horizontal="center"/>
    </xf>
    <xf numFmtId="0" fontId="18" fillId="3" borderId="2" xfId="0" applyNumberFormat="1" applyFont="1" applyFill="1" applyBorder="1" applyAlignment="1" applyProtection="1">
      <alignment horizontal="center" vertical="top" wrapText="1"/>
    </xf>
    <xf numFmtId="0" fontId="18" fillId="3" borderId="2" xfId="0" applyNumberFormat="1" applyFont="1" applyFill="1" applyBorder="1" applyAlignment="1" applyProtection="1">
      <alignment horizontal="left" vertical="top" wrapText="1"/>
    </xf>
    <xf numFmtId="14" fontId="0" fillId="4" borderId="0" xfId="0" applyNumberFormat="1" applyFill="1"/>
    <xf numFmtId="43" fontId="0" fillId="0" borderId="1" xfId="0" applyNumberFormat="1" applyBorder="1"/>
    <xf numFmtId="0" fontId="22" fillId="0" borderId="0" xfId="0" applyFont="1"/>
    <xf numFmtId="0" fontId="0" fillId="0" borderId="0" xfId="0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5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4" fontId="0" fillId="0" borderId="2" xfId="0" applyNumberFormat="1" applyBorder="1" applyAlignment="1">
      <alignment horizontal="left" vertical="center" wrapText="1"/>
    </xf>
    <xf numFmtId="0" fontId="15" fillId="0" borderId="7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 wrapText="1"/>
    </xf>
    <xf numFmtId="0" fontId="15" fillId="0" borderId="9" xfId="0" applyFont="1" applyBorder="1" applyAlignment="1">
      <alignment horizontal="left" vertical="center" wrapText="1"/>
    </xf>
    <xf numFmtId="0" fontId="15" fillId="0" borderId="10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4" fontId="0" fillId="0" borderId="10" xfId="0" applyNumberFormat="1" applyBorder="1" applyAlignment="1">
      <alignment horizontal="left" vertical="center" wrapText="1"/>
    </xf>
    <xf numFmtId="4" fontId="0" fillId="0" borderId="12" xfId="0" applyNumberForma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4" fontId="0" fillId="0" borderId="13" xfId="0" applyNumberFormat="1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23" fillId="0" borderId="0" xfId="0" applyFont="1" applyAlignment="1">
      <alignment horizontal="left" indent="2"/>
    </xf>
    <xf numFmtId="0" fontId="14" fillId="5" borderId="0" xfId="0" applyFont="1" applyFill="1" applyAlignment="1">
      <alignment horizontal="center"/>
    </xf>
    <xf numFmtId="0" fontId="0" fillId="0" borderId="0" xfId="0" quotePrefix="1"/>
    <xf numFmtId="0" fontId="13" fillId="5" borderId="0" xfId="0" applyFont="1" applyFill="1"/>
    <xf numFmtId="0" fontId="13" fillId="0" borderId="0" xfId="0" applyFont="1"/>
    <xf numFmtId="44" fontId="13" fillId="5" borderId="0" xfId="4" applyFont="1" applyFill="1"/>
    <xf numFmtId="43" fontId="12" fillId="0" borderId="0" xfId="3" applyFont="1"/>
    <xf numFmtId="43" fontId="12" fillId="0" borderId="1" xfId="3" applyFont="1" applyBorder="1"/>
    <xf numFmtId="43" fontId="12" fillId="0" borderId="0" xfId="3" applyFont="1"/>
    <xf numFmtId="0" fontId="0" fillId="0" borderId="0" xfId="0" applyAlignment="1">
      <alignment horizontal="center"/>
    </xf>
    <xf numFmtId="14" fontId="0" fillId="2" borderId="0" xfId="0" applyNumberFormat="1" applyFill="1"/>
    <xf numFmtId="43" fontId="12" fillId="2" borderId="0" xfId="3" applyFont="1" applyFill="1"/>
    <xf numFmtId="2" fontId="0" fillId="2" borderId="0" xfId="0" applyNumberFormat="1" applyFill="1"/>
    <xf numFmtId="43" fontId="0" fillId="2" borderId="0" xfId="0" applyNumberFormat="1" applyFill="1"/>
    <xf numFmtId="4" fontId="0" fillId="2" borderId="0" xfId="0" applyNumberFormat="1" applyFill="1"/>
    <xf numFmtId="15" fontId="0" fillId="0" borderId="0" xfId="0" applyNumberFormat="1"/>
    <xf numFmtId="0" fontId="24" fillId="0" borderId="22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24" xfId="0" applyFont="1" applyBorder="1" applyAlignment="1">
      <alignment vertical="center" wrapText="1"/>
    </xf>
    <xf numFmtId="8" fontId="24" fillId="0" borderId="25" xfId="0" applyNumberFormat="1" applyFont="1" applyBorder="1" applyAlignment="1">
      <alignment vertical="center" wrapText="1"/>
    </xf>
    <xf numFmtId="0" fontId="24" fillId="0" borderId="25" xfId="0" applyFont="1" applyBorder="1" applyAlignment="1">
      <alignment vertical="center" wrapText="1"/>
    </xf>
    <xf numFmtId="0" fontId="24" fillId="0" borderId="26" xfId="0" applyFont="1" applyFill="1" applyBorder="1" applyAlignment="1">
      <alignment vertical="center" wrapText="1"/>
    </xf>
    <xf numFmtId="14" fontId="2" fillId="0" borderId="0" xfId="0" applyNumberFormat="1" applyFont="1"/>
    <xf numFmtId="43" fontId="12" fillId="0" borderId="0" xfId="3" applyFont="1"/>
    <xf numFmtId="0" fontId="16" fillId="6" borderId="19" xfId="0" applyNumberFormat="1" applyFont="1" applyFill="1" applyBorder="1" applyAlignment="1" applyProtection="1">
      <alignment horizontal="center" vertical="top" wrapText="1"/>
    </xf>
    <xf numFmtId="0" fontId="16" fillId="7" borderId="19" xfId="0" applyNumberFormat="1" applyFont="1" applyFill="1" applyBorder="1" applyAlignment="1" applyProtection="1">
      <alignment horizontal="center" vertical="top" wrapText="1"/>
    </xf>
    <xf numFmtId="14" fontId="15" fillId="0" borderId="0" xfId="0" applyNumberFormat="1" applyFont="1"/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8" fillId="0" borderId="2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16" fillId="0" borderId="19" xfId="0" applyNumberFormat="1" applyFont="1" applyFill="1" applyBorder="1" applyAlignment="1" applyProtection="1">
      <alignment horizontal="center" vertical="top" wrapText="1"/>
    </xf>
    <xf numFmtId="14" fontId="0" fillId="0" borderId="0" xfId="0" applyNumberFormat="1" applyFill="1"/>
    <xf numFmtId="4" fontId="8" fillId="0" borderId="0" xfId="0" applyNumberFormat="1" applyFont="1" applyFill="1"/>
    <xf numFmtId="0" fontId="8" fillId="0" borderId="0" xfId="0" applyFont="1" applyFill="1"/>
    <xf numFmtId="43" fontId="8" fillId="0" borderId="0" xfId="0" applyNumberFormat="1" applyFont="1" applyFill="1"/>
    <xf numFmtId="43" fontId="0" fillId="0" borderId="0" xfId="0" applyNumberFormat="1" applyFill="1"/>
    <xf numFmtId="43" fontId="12" fillId="0" borderId="0" xfId="3" applyFont="1" applyFill="1"/>
    <xf numFmtId="43" fontId="9" fillId="0" borderId="0" xfId="3" applyFont="1" applyFill="1"/>
    <xf numFmtId="0" fontId="0" fillId="0" borderId="0" xfId="0" applyNumberFormat="1"/>
    <xf numFmtId="0" fontId="0" fillId="0" borderId="0" xfId="0" applyNumberFormat="1" applyFill="1"/>
    <xf numFmtId="49" fontId="0" fillId="0" borderId="0" xfId="0" applyNumberFormat="1"/>
    <xf numFmtId="49" fontId="0" fillId="0" borderId="0" xfId="0" applyNumberFormat="1" applyFill="1"/>
    <xf numFmtId="49" fontId="0" fillId="0" borderId="0" xfId="0" applyNumberFormat="1" applyFont="1" applyProtection="1"/>
    <xf numFmtId="0" fontId="26" fillId="0" borderId="0" xfId="0" applyFont="1"/>
    <xf numFmtId="1" fontId="0" fillId="0" borderId="0" xfId="0" applyNumberFormat="1"/>
    <xf numFmtId="0" fontId="0" fillId="4" borderId="0" xfId="0" applyFill="1"/>
    <xf numFmtId="49" fontId="0" fillId="4" borderId="0" xfId="0" applyNumberFormat="1" applyFont="1" applyFill="1" applyProtection="1"/>
    <xf numFmtId="2" fontId="0" fillId="4" borderId="0" xfId="0" applyNumberFormat="1" applyFill="1"/>
    <xf numFmtId="1" fontId="0" fillId="0" borderId="0" xfId="0" applyNumberFormat="1" applyFont="1"/>
    <xf numFmtId="166" fontId="0" fillId="0" borderId="0" xfId="0" applyNumberFormat="1" applyAlignment="1">
      <alignment horizontal="center"/>
    </xf>
    <xf numFmtId="0" fontId="11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16" fillId="3" borderId="15" xfId="0" applyNumberFormat="1" applyFont="1" applyFill="1" applyBorder="1" applyAlignment="1" applyProtection="1">
      <alignment horizontal="center" vertical="top" wrapText="1"/>
    </xf>
    <xf numFmtId="0" fontId="16" fillId="3" borderId="16" xfId="0" applyNumberFormat="1" applyFont="1" applyFill="1" applyBorder="1" applyAlignment="1" applyProtection="1">
      <alignment horizontal="center" vertical="top" wrapText="1"/>
    </xf>
    <xf numFmtId="0" fontId="16" fillId="3" borderId="17" xfId="0" applyNumberFormat="1" applyFont="1" applyFill="1" applyBorder="1" applyAlignment="1" applyProtection="1">
      <alignment horizontal="center" vertical="top" wrapText="1"/>
    </xf>
    <xf numFmtId="0" fontId="18" fillId="3" borderId="2" xfId="0" applyNumberFormat="1" applyFont="1" applyFill="1" applyBorder="1" applyAlignment="1" applyProtection="1">
      <alignment horizontal="center" vertical="top" wrapText="1"/>
    </xf>
    <xf numFmtId="0" fontId="16" fillId="3" borderId="2" xfId="0" applyNumberFormat="1" applyFont="1" applyFill="1" applyBorder="1" applyAlignment="1" applyProtection="1">
      <alignment horizontal="center" vertical="top" wrapText="1"/>
    </xf>
    <xf numFmtId="165" fontId="18" fillId="3" borderId="2" xfId="5" applyNumberFormat="1" applyFont="1" applyFill="1" applyBorder="1" applyAlignment="1" applyProtection="1">
      <alignment horizontal="center" vertical="center" wrapText="1"/>
    </xf>
    <xf numFmtId="0" fontId="15" fillId="0" borderId="0" xfId="0" applyFont="1" applyAlignment="1">
      <alignment horizontal="center"/>
    </xf>
    <xf numFmtId="0" fontId="18" fillId="3" borderId="15" xfId="0" applyNumberFormat="1" applyFont="1" applyFill="1" applyBorder="1" applyAlignment="1" applyProtection="1">
      <alignment horizontal="center" vertical="top" wrapText="1"/>
    </xf>
    <xf numFmtId="0" fontId="18" fillId="3" borderId="17" xfId="0" applyNumberFormat="1" applyFont="1" applyFill="1" applyBorder="1" applyAlignment="1" applyProtection="1">
      <alignment horizontal="center" vertical="top" wrapText="1"/>
    </xf>
    <xf numFmtId="0" fontId="14" fillId="5" borderId="18" xfId="0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</cellXfs>
  <cellStyles count="6">
    <cellStyle name="Comma_DETERMIMSS2002" xfId="1" xr:uid="{00000000-0005-0000-0000-000000000000}"/>
    <cellStyle name="Hipervínculo" xfId="2" builtinId="8"/>
    <cellStyle name="Millares" xfId="3" builtinId="3"/>
    <cellStyle name="Moneda" xfId="4" builtinId="4"/>
    <cellStyle name="Normal" xfId="0" builtinId="0"/>
    <cellStyle name="Porcentaje" xfId="5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contadorcontado.com/wp-content/uploads/2015/10/Tipo-de-riesgo-de-trabajo.jpg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12</xdr:col>
      <xdr:colOff>523875</xdr:colOff>
      <xdr:row>41</xdr:row>
      <xdr:rowOff>47625</xdr:rowOff>
    </xdr:to>
    <xdr:pic>
      <xdr:nvPicPr>
        <xdr:cNvPr id="7236" name="Picture 2" descr="Tipo-de-riesgo-de-trabaj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4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66975"/>
          <a:ext cx="5095875" cy="5953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0</xdr:rowOff>
        </xdr:from>
        <xdr:to>
          <xdr:col>20</xdr:col>
          <xdr:colOff>914400</xdr:colOff>
          <xdr:row>37</xdr:row>
          <xdr:rowOff>38100</xdr:rowOff>
        </xdr:to>
        <xdr:sp macro="" textlink="">
          <xdr:nvSpPr>
            <xdr:cNvPr id="9237" name="Control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8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0</xdr:rowOff>
        </xdr:from>
        <xdr:to>
          <xdr:col>20</xdr:col>
          <xdr:colOff>914400</xdr:colOff>
          <xdr:row>37</xdr:row>
          <xdr:rowOff>38100</xdr:rowOff>
        </xdr:to>
        <xdr:sp macro="" textlink="">
          <xdr:nvSpPr>
            <xdr:cNvPr id="9238" name="Control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8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contadorcontado.com/wp-content/uploads/2015/10/Tipo-de-riesgo-de-trabajo.jpg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I55"/>
  <sheetViews>
    <sheetView zoomScale="90" zoomScaleNormal="142" workbookViewId="0">
      <selection activeCell="C32" sqref="C32"/>
    </sheetView>
  </sheetViews>
  <sheetFormatPr baseColWidth="10" defaultRowHeight="15" x14ac:dyDescent="0.25"/>
  <cols>
    <col min="1" max="1" width="7.140625" bestFit="1" customWidth="1"/>
    <col min="2" max="2" width="39.28515625" bestFit="1" customWidth="1"/>
    <col min="3" max="3" width="8.7109375" customWidth="1"/>
    <col min="4" max="4" width="15.28515625" bestFit="1" customWidth="1"/>
    <col min="5" max="5" width="16.5703125" bestFit="1" customWidth="1"/>
    <col min="6" max="6" width="23.42578125" bestFit="1" customWidth="1"/>
    <col min="7" max="7" width="13" bestFit="1" customWidth="1"/>
    <col min="8" max="8" width="12.85546875" bestFit="1" customWidth="1"/>
    <col min="9" max="10" width="12.7109375" customWidth="1"/>
    <col min="11" max="11" width="20.85546875" bestFit="1" customWidth="1"/>
  </cols>
  <sheetData>
    <row r="1" spans="1:9" x14ac:dyDescent="0.25">
      <c r="A1" s="124">
        <f>'CALCULO Y BASE'!A6</f>
        <v>1</v>
      </c>
      <c r="B1" s="124" t="str">
        <f>'CALCULO Y BASE'!B6</f>
        <v>CESAR ABNER TRUJILLO ESTRADA</v>
      </c>
      <c r="C1" s="124" t="str">
        <f>'CALCULO Y BASE'!F6</f>
        <v>MPD</v>
      </c>
      <c r="D1" s="125">
        <f>'CALCULO Y BASE'!C6</f>
        <v>7078605396</v>
      </c>
      <c r="E1" s="124" t="str">
        <f>'CALCULO Y BASE'!D6</f>
        <v>TUEC8602065C1</v>
      </c>
      <c r="F1" s="124" t="str">
        <f>'CALCULO Y BASE'!E6</f>
        <v>TUEC860206HDFRSS03</v>
      </c>
      <c r="G1" s="58">
        <f>'CALCULO Y BASE'!H6</f>
        <v>41852</v>
      </c>
      <c r="H1" s="124">
        <f>'CALCULO Y BASE'!I6</f>
        <v>507.11</v>
      </c>
      <c r="I1" s="126">
        <f ca="1">(TODAY()-G1)/365</f>
        <v>5.5698630136986305</v>
      </c>
    </row>
    <row r="2" spans="1:9" x14ac:dyDescent="0.25">
      <c r="A2" s="124">
        <f>'CALCULO Y BASE'!A7</f>
        <v>3</v>
      </c>
      <c r="B2" s="124" t="str">
        <f>'CALCULO Y BASE'!B7</f>
        <v>JOSE ANTONIO ESTRADA ROMERO</v>
      </c>
      <c r="C2" s="124" t="str">
        <f>'CALCULO Y BASE'!F7</f>
        <v>FYD</v>
      </c>
      <c r="D2" s="125">
        <f>'CALCULO Y BASE'!C7</f>
        <v>11947307382</v>
      </c>
      <c r="E2" s="124" t="str">
        <f>'CALCULO Y BASE'!D7</f>
        <v>EARA730128KI5</v>
      </c>
      <c r="F2" s="124" t="str">
        <f>'CALCULO Y BASE'!E7</f>
        <v>EARA730128HDFSMN01</v>
      </c>
      <c r="G2" s="58">
        <f>'CALCULO Y BASE'!H7</f>
        <v>42370</v>
      </c>
      <c r="H2" s="124">
        <f>'CALCULO Y BASE'!I7</f>
        <v>328.53</v>
      </c>
      <c r="I2" s="126">
        <f t="shared" ref="I2:I55" ca="1" si="0">(TODAY()-G2)/365</f>
        <v>4.1506849315068495</v>
      </c>
    </row>
    <row r="3" spans="1:9" x14ac:dyDescent="0.25">
      <c r="A3" s="124">
        <f>'CALCULO Y BASE'!A8</f>
        <v>9</v>
      </c>
      <c r="B3" s="124" t="str">
        <f>'CALCULO Y BASE'!B8</f>
        <v>ERIC GUSTAVO ESTRADA ESTRADA</v>
      </c>
      <c r="C3" s="124" t="str">
        <f>'CALCULO Y BASE'!F8</f>
        <v>CAB</v>
      </c>
      <c r="D3" s="125">
        <f>'CALCULO Y BASE'!C8</f>
        <v>39028216297</v>
      </c>
      <c r="E3" s="124" t="str">
        <f>'CALCULO Y BASE'!D8</f>
        <v>EAEE82041878A</v>
      </c>
      <c r="F3" s="124" t="str">
        <f>'CALCULO Y BASE'!E8</f>
        <v>EAEE820418HDFSSR08</v>
      </c>
      <c r="G3" s="58">
        <f>'CALCULO Y BASE'!H8</f>
        <v>41852</v>
      </c>
      <c r="H3" s="124">
        <f>'CALCULO Y BASE'!I8</f>
        <v>273.89999999999998</v>
      </c>
      <c r="I3" s="126">
        <f t="shared" ca="1" si="0"/>
        <v>5.5698630136986305</v>
      </c>
    </row>
    <row r="4" spans="1:9" x14ac:dyDescent="0.25">
      <c r="A4" s="124">
        <f>'CALCULO Y BASE'!A9</f>
        <v>15</v>
      </c>
      <c r="B4" s="124" t="str">
        <f>'CALCULO Y BASE'!B9</f>
        <v>EVA SUSANA MANJARREZ CAMACHO</v>
      </c>
      <c r="C4" s="124" t="str">
        <f>'CALCULO Y BASE'!F9</f>
        <v>MPD</v>
      </c>
      <c r="D4" s="125">
        <f>'CALCULO Y BASE'!C9</f>
        <v>39957323668</v>
      </c>
      <c r="E4" s="124" t="str">
        <f>'CALCULO Y BASE'!D9</f>
        <v>MACE730427QP8</v>
      </c>
      <c r="F4" s="124" t="str">
        <f>'CALCULO Y BASE'!E9</f>
        <v>MACE730427MDFNMV02</v>
      </c>
      <c r="G4" s="58">
        <f>'CALCULO Y BASE'!H9</f>
        <v>41852</v>
      </c>
      <c r="H4" s="124">
        <f>'CALCULO Y BASE'!I9</f>
        <v>382.07</v>
      </c>
      <c r="I4" s="126">
        <f t="shared" ca="1" si="0"/>
        <v>5.5698630136986305</v>
      </c>
    </row>
    <row r="5" spans="1:9" x14ac:dyDescent="0.25">
      <c r="A5" s="124">
        <f>'CALCULO Y BASE'!A10</f>
        <v>23</v>
      </c>
      <c r="B5" s="124" t="str">
        <f>'CALCULO Y BASE'!B10</f>
        <v>JORGE ALFONSO TAPIA DOMINGUEZ</v>
      </c>
      <c r="C5" s="124" t="str">
        <f>'CALCULO Y BASE'!F10</f>
        <v>OPE</v>
      </c>
      <c r="D5" s="125">
        <f>'CALCULO Y BASE'!C10</f>
        <v>39098710864</v>
      </c>
      <c r="E5" s="124" t="str">
        <f>'CALCULO Y BASE'!D10</f>
        <v>TADJ8708041S4</v>
      </c>
      <c r="F5" s="124" t="str">
        <f>'CALCULO Y BASE'!E10</f>
        <v>TADJ870804HDFPMR01</v>
      </c>
      <c r="G5" s="58">
        <f>'CALCULO Y BASE'!H10</f>
        <v>41852</v>
      </c>
      <c r="H5" s="124">
        <f>'CALCULO Y BASE'!I10</f>
        <v>317.89999999999998</v>
      </c>
      <c r="I5" s="126">
        <f t="shared" ca="1" si="0"/>
        <v>5.5698630136986305</v>
      </c>
    </row>
    <row r="6" spans="1:9" x14ac:dyDescent="0.25">
      <c r="A6" s="124">
        <f>'CALCULO Y BASE'!A11</f>
        <v>28</v>
      </c>
      <c r="B6" s="124" t="str">
        <f>'CALCULO Y BASE'!B11</f>
        <v>GABRIEL ESTRADA PABELLO</v>
      </c>
      <c r="C6" s="124" t="str">
        <f>'CALCULO Y BASE'!F11</f>
        <v>ACF</v>
      </c>
      <c r="D6" s="125">
        <f>'CALCULO Y BASE'!C11</f>
        <v>11977941902</v>
      </c>
      <c r="E6" s="124" t="str">
        <f>'CALCULO Y BASE'!D11</f>
        <v>EAPG7905263L3</v>
      </c>
      <c r="F6" s="124" t="str">
        <f>'CALCULO Y BASE'!E11</f>
        <v>EAPG790526HDFSBB09</v>
      </c>
      <c r="G6" s="58">
        <f>'CALCULO Y BASE'!H11</f>
        <v>41852</v>
      </c>
      <c r="H6" s="124">
        <f>'CALCULO Y BASE'!I11</f>
        <v>382.07</v>
      </c>
      <c r="I6" s="126">
        <f t="shared" ca="1" si="0"/>
        <v>5.5698630136986305</v>
      </c>
    </row>
    <row r="7" spans="1:9" x14ac:dyDescent="0.25">
      <c r="A7" s="124">
        <f>'CALCULO Y BASE'!A12</f>
        <v>43</v>
      </c>
      <c r="B7" s="124" t="str">
        <f>'CALCULO Y BASE'!B12</f>
        <v>MARIA ANGELICA HERNANDEZ ROJAS</v>
      </c>
      <c r="C7" s="124" t="str">
        <f>'CALCULO Y BASE'!F12</f>
        <v>SSJ</v>
      </c>
      <c r="D7" s="125">
        <f>'CALCULO Y BASE'!C12</f>
        <v>39937231387</v>
      </c>
      <c r="E7" s="124" t="str">
        <f>'CALCULO Y BASE'!D12</f>
        <v>HERA720223J87</v>
      </c>
      <c r="F7" s="124" t="str">
        <f>'CALCULO Y BASE'!E12</f>
        <v>HERA720223MDFRJN03</v>
      </c>
      <c r="G7" s="58">
        <f>'CALCULO Y BASE'!H12</f>
        <v>41852</v>
      </c>
      <c r="H7" s="124">
        <f>'CALCULO Y BASE'!I12</f>
        <v>215.24</v>
      </c>
      <c r="I7" s="126">
        <f t="shared" ca="1" si="0"/>
        <v>5.5698630136986305</v>
      </c>
    </row>
    <row r="8" spans="1:9" x14ac:dyDescent="0.25">
      <c r="A8" s="124">
        <f>'CALCULO Y BASE'!A13</f>
        <v>133</v>
      </c>
      <c r="B8" s="124" t="str">
        <f>'CALCULO Y BASE'!B13</f>
        <v>CESAR ROBERTO MEDINA ROMERO</v>
      </c>
      <c r="C8" s="124" t="str">
        <f>'CALCULO Y BASE'!F13</f>
        <v>SCCC</v>
      </c>
      <c r="D8" s="125">
        <f>'CALCULO Y BASE'!C13</f>
        <v>1109306629</v>
      </c>
      <c r="E8" s="124" t="str">
        <f>'CALCULO Y BASE'!D13</f>
        <v>MERC930527V20</v>
      </c>
      <c r="F8" s="124" t="str">
        <f>'CALCULO Y BASE'!E13</f>
        <v>MERC930527HDFDMS08</v>
      </c>
      <c r="G8" s="58">
        <f>'CALCULO Y BASE'!H13</f>
        <v>41976</v>
      </c>
      <c r="H8" s="124">
        <f>'CALCULO Y BASE'!I13</f>
        <v>137</v>
      </c>
      <c r="I8" s="126">
        <f t="shared" ca="1" si="0"/>
        <v>5.2301369863013702</v>
      </c>
    </row>
    <row r="9" spans="1:9" x14ac:dyDescent="0.25">
      <c r="A9" s="124">
        <f>'CALCULO Y BASE'!A14</f>
        <v>157</v>
      </c>
      <c r="B9" s="124" t="str">
        <f>'CALCULO Y BASE'!B14</f>
        <v>ERIK RICARDO RAMIREZ SOTO</v>
      </c>
      <c r="C9" s="124" t="str">
        <f>'CALCULO Y BASE'!F14</f>
        <v>CAB</v>
      </c>
      <c r="D9" s="125">
        <f>'CALCULO Y BASE'!C14</f>
        <v>96088833718</v>
      </c>
      <c r="E9" s="124" t="str">
        <f>'CALCULO Y BASE'!D14</f>
        <v>RASE880911SK7</v>
      </c>
      <c r="F9" s="124" t="str">
        <f>'CALCULO Y BASE'!E14</f>
        <v>RASE880911HMCMTR28</v>
      </c>
      <c r="G9" s="58">
        <f>'CALCULO Y BASE'!H14</f>
        <v>42062</v>
      </c>
      <c r="H9" s="124">
        <f>'CALCULO Y BASE'!I14</f>
        <v>215.24</v>
      </c>
      <c r="I9" s="126">
        <f t="shared" ca="1" si="0"/>
        <v>4.9945205479452053</v>
      </c>
    </row>
    <row r="10" spans="1:9" x14ac:dyDescent="0.25">
      <c r="A10" s="124">
        <f>'CALCULO Y BASE'!A15</f>
        <v>181</v>
      </c>
      <c r="B10" s="124" t="str">
        <f>'CALCULO Y BASE'!B15</f>
        <v>VERONICA PLACIDO ESTRADA</v>
      </c>
      <c r="C10" s="124" t="str">
        <f>'CALCULO Y BASE'!F15</f>
        <v>SSJ</v>
      </c>
      <c r="D10" s="125">
        <f>'CALCULO Y BASE'!C15</f>
        <v>7907002443</v>
      </c>
      <c r="E10" s="124" t="str">
        <f>'CALCULO Y BASE'!D15</f>
        <v>PAEV700726NB4</v>
      </c>
      <c r="F10" s="124" t="str">
        <f>'CALCULO Y BASE'!E15</f>
        <v>PAEV700726MDFLSR07</v>
      </c>
      <c r="G10" s="58">
        <f>'CALCULO Y BASE'!H15</f>
        <v>42188</v>
      </c>
      <c r="H10" s="124">
        <f>'CALCULO Y BASE'!I15</f>
        <v>123.5</v>
      </c>
      <c r="I10" s="126">
        <f t="shared" ca="1" si="0"/>
        <v>4.6493150684931503</v>
      </c>
    </row>
    <row r="11" spans="1:9" x14ac:dyDescent="0.25">
      <c r="A11" s="124">
        <f>'CALCULO Y BASE'!A16</f>
        <v>207</v>
      </c>
      <c r="B11" s="124" t="str">
        <f>'CALCULO Y BASE'!B16</f>
        <v>MARIA DEL ROCIO HERNANDEZ CHINOS</v>
      </c>
      <c r="C11" s="124" t="str">
        <f>'CALCULO Y BASE'!F16</f>
        <v>SAJ</v>
      </c>
      <c r="D11" s="125">
        <f>'CALCULO Y BASE'!C16</f>
        <v>2157397924</v>
      </c>
      <c r="E11" s="124" t="str">
        <f>'CALCULO Y BASE'!D16</f>
        <v>HECR730127IQ5</v>
      </c>
      <c r="F11" s="124" t="str">
        <f>'CALCULO Y BASE'!E16</f>
        <v>HECR730127MMSRHC05</v>
      </c>
      <c r="G11" s="58">
        <f>'CALCULO Y BASE'!H16</f>
        <v>42296</v>
      </c>
      <c r="H11" s="124">
        <f>'CALCULO Y BASE'!I16</f>
        <v>123.5</v>
      </c>
      <c r="I11" s="126">
        <f t="shared" ca="1" si="0"/>
        <v>4.353424657534247</v>
      </c>
    </row>
    <row r="12" spans="1:9" x14ac:dyDescent="0.25">
      <c r="A12" s="124">
        <f>'CALCULO Y BASE'!A17</f>
        <v>208</v>
      </c>
      <c r="B12" s="124" t="str">
        <f>'CALCULO Y BASE'!B17</f>
        <v>DANIEL MARTINEZ RODRIGUEZ</v>
      </c>
      <c r="C12" s="124" t="str">
        <f>'CALCULO Y BASE'!F17</f>
        <v>SAJ</v>
      </c>
      <c r="D12" s="125">
        <f>'CALCULO Y BASE'!C17</f>
        <v>30109309259</v>
      </c>
      <c r="E12" s="124" t="str">
        <f>'CALCULO Y BASE'!D17</f>
        <v>MARD9309029V9</v>
      </c>
      <c r="F12" s="124" t="str">
        <f>'CALCULO Y BASE'!E17</f>
        <v>MARD930902HDFRDN01</v>
      </c>
      <c r="G12" s="58">
        <f>'CALCULO Y BASE'!H17</f>
        <v>42296</v>
      </c>
      <c r="H12" s="124">
        <f>'CALCULO Y BASE'!I17</f>
        <v>123.5</v>
      </c>
      <c r="I12" s="126">
        <f t="shared" ca="1" si="0"/>
        <v>4.353424657534247</v>
      </c>
    </row>
    <row r="13" spans="1:9" x14ac:dyDescent="0.25">
      <c r="A13" s="124">
        <f>'CALCULO Y BASE'!A18</f>
        <v>227</v>
      </c>
      <c r="B13" s="124" t="str">
        <f>'CALCULO Y BASE'!B18</f>
        <v>HECTOR ABRAHAM SANTA FE CHAVEZ</v>
      </c>
      <c r="C13" s="124" t="str">
        <f>'CALCULO Y BASE'!F18</f>
        <v>SAJ</v>
      </c>
      <c r="D13" s="125">
        <f>'CALCULO Y BASE'!C18</f>
        <v>18149299788</v>
      </c>
      <c r="E13" s="124" t="str">
        <f>'CALCULO Y BASE'!D18</f>
        <v>SACH920618U80</v>
      </c>
      <c r="F13" s="124" t="str">
        <f>'CALCULO Y BASE'!E18</f>
        <v>SACH920618HDFNHC05</v>
      </c>
      <c r="G13" s="58">
        <f>'CALCULO Y BASE'!H18</f>
        <v>43734</v>
      </c>
      <c r="H13" s="124">
        <f>'CALCULO Y BASE'!I18</f>
        <v>105.41</v>
      </c>
      <c r="I13" s="126">
        <f t="shared" ca="1" si="0"/>
        <v>0.41369863013698632</v>
      </c>
    </row>
    <row r="14" spans="1:9" x14ac:dyDescent="0.25">
      <c r="A14" s="124">
        <f>'CALCULO Y BASE'!A19</f>
        <v>251</v>
      </c>
      <c r="B14" s="124" t="str">
        <f>'CALCULO Y BASE'!B19</f>
        <v>ALEJANDRA SOLIS RUIZ</v>
      </c>
      <c r="C14" s="124" t="str">
        <f>'CALCULO Y BASE'!F19</f>
        <v>SSJ</v>
      </c>
      <c r="D14" s="125">
        <f>'CALCULO Y BASE'!C19</f>
        <v>26169732034</v>
      </c>
      <c r="E14" s="124" t="str">
        <f>'CALCULO Y BASE'!D19</f>
        <v>SORA970109IH1</v>
      </c>
      <c r="F14" s="124" t="str">
        <f>'CALCULO Y BASE'!E19</f>
        <v>SORA970109MDFLZL07</v>
      </c>
      <c r="G14" s="58">
        <f>'CALCULO Y BASE'!H19</f>
        <v>42438</v>
      </c>
      <c r="H14" s="124">
        <f>'CALCULO Y BASE'!I19</f>
        <v>123.5</v>
      </c>
      <c r="I14" s="126">
        <f t="shared" ca="1" si="0"/>
        <v>3.9643835616438357</v>
      </c>
    </row>
    <row r="15" spans="1:9" x14ac:dyDescent="0.25">
      <c r="A15" s="124">
        <f>'CALCULO Y BASE'!A20</f>
        <v>274</v>
      </c>
      <c r="B15" s="124" t="str">
        <f>'CALCULO Y BASE'!B20</f>
        <v>EDUARDO JAVIER ANTONIO BECERRIL</v>
      </c>
      <c r="C15" s="124" t="str">
        <f>'CALCULO Y BASE'!F20</f>
        <v>SSF</v>
      </c>
      <c r="D15" s="125">
        <f>'CALCULO Y BASE'!C20</f>
        <v>14119609775</v>
      </c>
      <c r="E15" s="124" t="str">
        <f>'CALCULO Y BASE'!D20</f>
        <v>AOBE960907973</v>
      </c>
      <c r="F15" s="124" t="str">
        <f>'CALCULO Y BASE'!E20</f>
        <v>AOBE960907HDFNCD04</v>
      </c>
      <c r="G15" s="58">
        <f>'CALCULO Y BASE'!H20</f>
        <v>42507</v>
      </c>
      <c r="H15" s="124">
        <f>'CALCULO Y BASE'!I20</f>
        <v>123.5</v>
      </c>
      <c r="I15" s="126">
        <f t="shared" ca="1" si="0"/>
        <v>3.7753424657534245</v>
      </c>
    </row>
    <row r="16" spans="1:9" x14ac:dyDescent="0.25">
      <c r="A16" s="124">
        <f>'CALCULO Y BASE'!A21</f>
        <v>316</v>
      </c>
      <c r="B16" s="124" t="str">
        <f>'CALCULO Y BASE'!B21</f>
        <v>MONTSERRAT HIGUERA SUNYOL</v>
      </c>
      <c r="C16" s="124" t="str">
        <f>'CALCULO Y BASE'!F21</f>
        <v>SSF</v>
      </c>
      <c r="D16" s="125">
        <f>'CALCULO Y BASE'!C21</f>
        <v>45088807156</v>
      </c>
      <c r="E16" s="124" t="str">
        <f>'CALCULO Y BASE'!D21</f>
        <v>HISM8805115U4</v>
      </c>
      <c r="F16" s="124" t="str">
        <f>'CALCULO Y BASE'!E21</f>
        <v>HISM880511MDFGNN06</v>
      </c>
      <c r="G16" s="58">
        <f>'CALCULO Y BASE'!H21</f>
        <v>42633</v>
      </c>
      <c r="H16" s="124">
        <f>'CALCULO Y BASE'!I21</f>
        <v>123.5</v>
      </c>
      <c r="I16" s="126">
        <f t="shared" ca="1" si="0"/>
        <v>3.43013698630137</v>
      </c>
    </row>
    <row r="17" spans="1:9" x14ac:dyDescent="0.25">
      <c r="A17" s="124">
        <f>'CALCULO Y BASE'!A22</f>
        <v>323</v>
      </c>
      <c r="B17" s="124" t="str">
        <f>'CALCULO Y BASE'!B22</f>
        <v>HECTOR DANIEL ORIA NIETO</v>
      </c>
      <c r="C17" s="124" t="str">
        <f>'CALCULO Y BASE'!F22</f>
        <v>SCCC</v>
      </c>
      <c r="D17" s="125">
        <f>'CALCULO Y BASE'!C22</f>
        <v>92129439367</v>
      </c>
      <c r="E17" s="124" t="str">
        <f>'CALCULO Y BASE'!D22</f>
        <v>OINH940624SZ0</v>
      </c>
      <c r="F17" s="124" t="str">
        <f>'CALCULO Y BASE'!E22</f>
        <v>OINH940624HJCRTC04</v>
      </c>
      <c r="G17" s="58">
        <f>'CALCULO Y BASE'!H22</f>
        <v>42637</v>
      </c>
      <c r="H17" s="124">
        <f>'CALCULO Y BASE'!I22</f>
        <v>123.5</v>
      </c>
      <c r="I17" s="126">
        <f t="shared" ca="1" si="0"/>
        <v>3.419178082191781</v>
      </c>
    </row>
    <row r="18" spans="1:9" x14ac:dyDescent="0.25">
      <c r="A18" s="124">
        <f>'CALCULO Y BASE'!A23</f>
        <v>358</v>
      </c>
      <c r="B18" s="124" t="str">
        <f>'CALCULO Y BASE'!B23</f>
        <v>JOSE MARCELO RODRIGUEZ VAZQUEZ</v>
      </c>
      <c r="C18" s="124" t="str">
        <f>'CALCULO Y BASE'!F23</f>
        <v>CAB</v>
      </c>
      <c r="D18" s="125">
        <f>'CALCULO Y BASE'!C23</f>
        <v>1037903075</v>
      </c>
      <c r="E18" s="124" t="str">
        <f>'CALCULO Y BASE'!D23</f>
        <v>ROVM7908116R5</v>
      </c>
      <c r="F18" s="124" t="str">
        <f>'CALCULO Y BASE'!E23</f>
        <v>ROVM790811HDFDZR07</v>
      </c>
      <c r="G18" s="58">
        <f>'CALCULO Y BASE'!H23</f>
        <v>42828</v>
      </c>
      <c r="H18" s="124">
        <f>'CALCULO Y BASE'!I23</f>
        <v>196.38</v>
      </c>
      <c r="I18" s="126">
        <f t="shared" ca="1" si="0"/>
        <v>2.8958904109589043</v>
      </c>
    </row>
    <row r="19" spans="1:9" x14ac:dyDescent="0.25">
      <c r="A19" s="124">
        <f>'CALCULO Y BASE'!A24</f>
        <v>377</v>
      </c>
      <c r="B19" s="124" t="str">
        <f>'CALCULO Y BASE'!B24</f>
        <v>VANESSA GARCIA CRUZ</v>
      </c>
      <c r="C19" s="124" t="str">
        <f>'CALCULO Y BASE'!F24</f>
        <v>SPD</v>
      </c>
      <c r="D19" s="125">
        <f>'CALCULO Y BASE'!C24</f>
        <v>39119518528</v>
      </c>
      <c r="E19" s="124" t="str">
        <f>'CALCULO Y BASE'!D24</f>
        <v>GACV9512233N4</v>
      </c>
      <c r="F19" s="124" t="str">
        <f>'CALCULO Y BASE'!E24</f>
        <v>GACV951223MDFRRN00</v>
      </c>
      <c r="G19" s="58">
        <f>'CALCULO Y BASE'!H24</f>
        <v>42887</v>
      </c>
      <c r="H19" s="124">
        <f>'CALCULO Y BASE'!I24</f>
        <v>123.5</v>
      </c>
      <c r="I19" s="126">
        <f t="shared" ca="1" si="0"/>
        <v>2.7342465753424658</v>
      </c>
    </row>
    <row r="20" spans="1:9" x14ac:dyDescent="0.25">
      <c r="A20" s="124">
        <f>'CALCULO Y BASE'!A25</f>
        <v>382</v>
      </c>
      <c r="B20" s="124" t="str">
        <f>'CALCULO Y BASE'!B25</f>
        <v>MIRIAM GUADALUPE NERI BECERRIL</v>
      </c>
      <c r="C20" s="124" t="str">
        <f>'CALCULO Y BASE'!F25</f>
        <v>SSJ</v>
      </c>
      <c r="D20" s="125">
        <f>'CALCULO Y BASE'!C25</f>
        <v>3179088640</v>
      </c>
      <c r="E20" s="124" t="str">
        <f>'CALCULO Y BASE'!D25</f>
        <v>NEBM9002035N5</v>
      </c>
      <c r="F20" s="124" t="str">
        <f>'CALCULO Y BASE'!E25</f>
        <v>NEBM900203MDFRCR08</v>
      </c>
      <c r="G20" s="58">
        <f>'CALCULO Y BASE'!H25</f>
        <v>42889</v>
      </c>
      <c r="H20" s="124">
        <f>'CALCULO Y BASE'!I25</f>
        <v>123.5</v>
      </c>
      <c r="I20" s="126">
        <f t="shared" ca="1" si="0"/>
        <v>2.7287671232876711</v>
      </c>
    </row>
    <row r="21" spans="1:9" x14ac:dyDescent="0.25">
      <c r="A21" s="124">
        <f>'CALCULO Y BASE'!A26</f>
        <v>398</v>
      </c>
      <c r="B21" s="124" t="str">
        <f>'CALCULO Y BASE'!B26</f>
        <v>JOSE ARMANDO OROZCO CASTILLO</v>
      </c>
      <c r="C21" s="124" t="str">
        <f>'CALCULO Y BASE'!F26</f>
        <v>SPC</v>
      </c>
      <c r="D21" s="125">
        <f>'CALCULO Y BASE'!C26</f>
        <v>45159813687</v>
      </c>
      <c r="E21" s="124" t="str">
        <f>'CALCULO Y BASE'!D26</f>
        <v>OOCA981129J47</v>
      </c>
      <c r="F21" s="124" t="str">
        <f>'CALCULO Y BASE'!E26</f>
        <v>OOCA981129HDFRSR02</v>
      </c>
      <c r="G21" s="58">
        <f>'CALCULO Y BASE'!H26</f>
        <v>42934</v>
      </c>
      <c r="H21" s="124">
        <f>'CALCULO Y BASE'!I26</f>
        <v>123.5</v>
      </c>
      <c r="I21" s="126">
        <f t="shared" ca="1" si="0"/>
        <v>2.6054794520547944</v>
      </c>
    </row>
    <row r="22" spans="1:9" x14ac:dyDescent="0.25">
      <c r="A22" s="124">
        <f>'CALCULO Y BASE'!A27</f>
        <v>400</v>
      </c>
      <c r="B22" s="124" t="str">
        <f>'CALCULO Y BASE'!B27</f>
        <v>LANOLYN ALONDRA MARTINEZ RODRIGUEZ</v>
      </c>
      <c r="C22" s="124" t="str">
        <f>'CALCULO Y BASE'!F27</f>
        <v>SPC</v>
      </c>
      <c r="D22" s="125">
        <f>'CALCULO Y BASE'!C27</f>
        <v>39139718595</v>
      </c>
      <c r="E22" s="124" t="str">
        <f>'CALCULO Y BASE'!D27</f>
        <v>MARL9711211K2</v>
      </c>
      <c r="F22" s="124" t="str">
        <f>'CALCULO Y BASE'!E27</f>
        <v>MARL971121MDFRDN04</v>
      </c>
      <c r="G22" s="58">
        <f>'CALCULO Y BASE'!H27</f>
        <v>42935</v>
      </c>
      <c r="H22" s="124">
        <f>'CALCULO Y BASE'!I27</f>
        <v>123.5</v>
      </c>
      <c r="I22" s="126">
        <f t="shared" ca="1" si="0"/>
        <v>2.6027397260273974</v>
      </c>
    </row>
    <row r="23" spans="1:9" x14ac:dyDescent="0.25">
      <c r="A23" s="124">
        <f>'CALCULO Y BASE'!A28</f>
        <v>403</v>
      </c>
      <c r="B23" s="124" t="str">
        <f>'CALCULO Y BASE'!B28</f>
        <v>WENDY KARINA NAJERA VILLAFAÑA</v>
      </c>
      <c r="C23" s="124" t="str">
        <f>'CALCULO Y BASE'!F28</f>
        <v>SMH</v>
      </c>
      <c r="D23" s="125">
        <f>'CALCULO Y BASE'!C28</f>
        <v>39129005318</v>
      </c>
      <c r="E23" s="124" t="str">
        <f>'CALCULO Y BASE'!D28</f>
        <v>NAVW900811VD3</v>
      </c>
      <c r="F23" s="124" t="str">
        <f>'CALCULO Y BASE'!E28</f>
        <v>NAVW900811MDFJLN01</v>
      </c>
      <c r="G23" s="58">
        <f>'CALCULO Y BASE'!H28</f>
        <v>42940</v>
      </c>
      <c r="H23" s="124">
        <f>'CALCULO Y BASE'!I28</f>
        <v>123.5</v>
      </c>
      <c r="I23" s="126">
        <f t="shared" ca="1" si="0"/>
        <v>2.5890410958904111</v>
      </c>
    </row>
    <row r="24" spans="1:9" x14ac:dyDescent="0.25">
      <c r="A24" s="124">
        <f>'CALCULO Y BASE'!A29</f>
        <v>423</v>
      </c>
      <c r="B24" s="124" t="str">
        <f>'CALCULO Y BASE'!B29</f>
        <v>DIANA ANDREA MOYA MANRIQUE</v>
      </c>
      <c r="C24" s="124" t="str">
        <f>'CALCULO Y BASE'!F29</f>
        <v>SSJ</v>
      </c>
      <c r="D24" s="125">
        <f>'CALCULO Y BASE'!C29</f>
        <v>39149935999</v>
      </c>
      <c r="E24" s="124" t="str">
        <f>'CALCULO Y BASE'!D29</f>
        <v>MOMD9902126G2</v>
      </c>
      <c r="F24" s="124" t="str">
        <f>'CALCULO Y BASE'!E29</f>
        <v>MOMD990212MDFYNN06</v>
      </c>
      <c r="G24" s="58">
        <f>'CALCULO Y BASE'!H29</f>
        <v>42979</v>
      </c>
      <c r="H24" s="124">
        <f>'CALCULO Y BASE'!I29</f>
        <v>123.5</v>
      </c>
      <c r="I24" s="126">
        <f t="shared" ca="1" si="0"/>
        <v>2.4821917808219176</v>
      </c>
    </row>
    <row r="25" spans="1:9" x14ac:dyDescent="0.25">
      <c r="A25" s="124">
        <f>'CALCULO Y BASE'!A30</f>
        <v>425</v>
      </c>
      <c r="B25" s="124" t="str">
        <f>'CALCULO Y BASE'!B30</f>
        <v>UZZIEL OSMAR PIÑA CABALLERO</v>
      </c>
      <c r="C25" s="124" t="str">
        <f>'CALCULO Y BASE'!F30</f>
        <v>SSF</v>
      </c>
      <c r="D25" s="125">
        <f>'CALCULO Y BASE'!C30</f>
        <v>45109513908</v>
      </c>
      <c r="E25" s="124" t="str">
        <f>'CALCULO Y BASE'!D30</f>
        <v>PICU950611N87</v>
      </c>
      <c r="F25" s="124" t="str">
        <f>'CALCULO Y BASE'!E30</f>
        <v>PICU950611HDFXBZ04</v>
      </c>
      <c r="G25" s="58">
        <f>'CALCULO Y BASE'!H30</f>
        <v>42986</v>
      </c>
      <c r="H25" s="124">
        <f>'CALCULO Y BASE'!I30</f>
        <v>123.5</v>
      </c>
      <c r="I25" s="126">
        <f t="shared" ca="1" si="0"/>
        <v>2.463013698630137</v>
      </c>
    </row>
    <row r="26" spans="1:9" x14ac:dyDescent="0.25">
      <c r="A26" s="124">
        <f>'CALCULO Y BASE'!A31</f>
        <v>426</v>
      </c>
      <c r="B26" s="124" t="str">
        <f>'CALCULO Y BASE'!B31</f>
        <v>CLAUDIA COLUMBA RODRIGUEZ DIAZ</v>
      </c>
      <c r="C26" s="124" t="str">
        <f>'CALCULO Y BASE'!F31</f>
        <v>SPC</v>
      </c>
      <c r="D26" s="125">
        <f>'CALCULO Y BASE'!C31</f>
        <v>20917243774</v>
      </c>
      <c r="E26" s="124" t="str">
        <f>'CALCULO Y BASE'!D31</f>
        <v>RODC7205202E9</v>
      </c>
      <c r="F26" s="124" t="str">
        <f>'CALCULO Y BASE'!E31</f>
        <v>RODC720520MDFDZL05</v>
      </c>
      <c r="G26" s="58">
        <f>'CALCULO Y BASE'!H31</f>
        <v>42987</v>
      </c>
      <c r="H26" s="124">
        <f>'CALCULO Y BASE'!I31</f>
        <v>123.5</v>
      </c>
      <c r="I26" s="126">
        <f t="shared" ca="1" si="0"/>
        <v>2.4602739726027396</v>
      </c>
    </row>
    <row r="27" spans="1:9" x14ac:dyDescent="0.25">
      <c r="A27" s="124">
        <f>'CALCULO Y BASE'!A32</f>
        <v>440</v>
      </c>
      <c r="B27" s="124" t="str">
        <f>'CALCULO Y BASE'!B32</f>
        <v>AXEL MANUEL OROZCO CASTILLO</v>
      </c>
      <c r="C27" s="124" t="str">
        <f>'CALCULO Y BASE'!F32</f>
        <v>SSF</v>
      </c>
      <c r="D27" s="125">
        <f>'CALCULO Y BASE'!C32</f>
        <v>25149337872</v>
      </c>
      <c r="E27" s="124" t="str">
        <f>'CALCULO Y BASE'!D32</f>
        <v>OOCA930506E92</v>
      </c>
      <c r="F27" s="124" t="str">
        <f>'CALCULO Y BASE'!E32</f>
        <v>OOCA930506HDFRSX04</v>
      </c>
      <c r="G27" s="58">
        <f>'CALCULO Y BASE'!H32</f>
        <v>43042</v>
      </c>
      <c r="H27" s="124">
        <f>'CALCULO Y BASE'!I32</f>
        <v>123.5</v>
      </c>
      <c r="I27" s="126">
        <f t="shared" ca="1" si="0"/>
        <v>2.3095890410958906</v>
      </c>
    </row>
    <row r="28" spans="1:9" x14ac:dyDescent="0.25">
      <c r="A28" s="124">
        <f>'CALCULO Y BASE'!A33</f>
        <v>441</v>
      </c>
      <c r="B28" s="124" t="str">
        <f>'CALCULO Y BASE'!B33</f>
        <v>ALONSO NAHUI GUZMAN NAVA</v>
      </c>
      <c r="C28" s="124" t="str">
        <f>'CALCULO Y BASE'!F33</f>
        <v>SPD</v>
      </c>
      <c r="D28" s="125">
        <f>'CALCULO Y BASE'!C33</f>
        <v>45149958212</v>
      </c>
      <c r="E28" s="124" t="str">
        <f>'CALCULO Y BASE'!D33</f>
        <v>GUNA990904QT1</v>
      </c>
      <c r="F28" s="124" t="str">
        <f>'CALCULO Y BASE'!E33</f>
        <v>GUNA990904HDFZVL01</v>
      </c>
      <c r="G28" s="58">
        <f>'CALCULO Y BASE'!H33</f>
        <v>43042</v>
      </c>
      <c r="H28" s="124">
        <f>'CALCULO Y BASE'!I33</f>
        <v>123.5</v>
      </c>
      <c r="I28" s="126">
        <f t="shared" ca="1" si="0"/>
        <v>2.3095890410958906</v>
      </c>
    </row>
    <row r="29" spans="1:9" x14ac:dyDescent="0.25">
      <c r="A29" s="124">
        <f>'CALCULO Y BASE'!A34</f>
        <v>464</v>
      </c>
      <c r="B29" s="124" t="str">
        <f>'CALCULO Y BASE'!B34</f>
        <v>MARIA DEL CARMEN GUERRA HERNANDEZ</v>
      </c>
      <c r="C29" s="124" t="str">
        <f>'CALCULO Y BASE'!F34</f>
        <v>SSF</v>
      </c>
      <c r="D29" s="125">
        <f>'CALCULO Y BASE'!C34</f>
        <v>45139314913</v>
      </c>
      <c r="E29" s="124" t="str">
        <f>'CALCULO Y BASE'!D34</f>
        <v>GUHC930711HI3</v>
      </c>
      <c r="F29" s="124" t="str">
        <f>'CALCULO Y BASE'!E34</f>
        <v>GUHC930711MPLRRR02</v>
      </c>
      <c r="G29" s="58">
        <f>'CALCULO Y BASE'!H34</f>
        <v>43119</v>
      </c>
      <c r="H29" s="124">
        <f>'CALCULO Y BASE'!I34</f>
        <v>123.5</v>
      </c>
      <c r="I29" s="126">
        <f t="shared" ca="1" si="0"/>
        <v>2.0986301369863014</v>
      </c>
    </row>
    <row r="30" spans="1:9" x14ac:dyDescent="0.25">
      <c r="A30" s="124">
        <f>'CALCULO Y BASE'!A35</f>
        <v>481</v>
      </c>
      <c r="B30" s="124" t="str">
        <f>'CALCULO Y BASE'!B35</f>
        <v>VIRIDIAN ALVAREZ RODRIGUEZ</v>
      </c>
      <c r="C30" s="124" t="str">
        <f>'CALCULO Y BASE'!F35</f>
        <v>SSF</v>
      </c>
      <c r="D30" s="125">
        <f>'CALCULO Y BASE'!C35</f>
        <v>45139745496</v>
      </c>
      <c r="E30" s="124" t="str">
        <f>'CALCULO Y BASE'!D35</f>
        <v>AARV970103JZ4</v>
      </c>
      <c r="F30" s="124" t="str">
        <f>'CALCULO Y BASE'!E35</f>
        <v>AARV970103MDFLDR09</v>
      </c>
      <c r="G30" s="58">
        <f>'CALCULO Y BASE'!H35</f>
        <v>43164</v>
      </c>
      <c r="H30" s="124">
        <f>'CALCULO Y BASE'!I35</f>
        <v>123.5</v>
      </c>
      <c r="I30" s="126">
        <f t="shared" ca="1" si="0"/>
        <v>1.9753424657534246</v>
      </c>
    </row>
    <row r="31" spans="1:9" x14ac:dyDescent="0.25">
      <c r="A31" s="124">
        <f>'CALCULO Y BASE'!A36</f>
        <v>491</v>
      </c>
      <c r="B31" s="124" t="str">
        <f>'CALCULO Y BASE'!B36</f>
        <v>ALEJANDRA HERNANDEZ JUAREZ</v>
      </c>
      <c r="C31" s="124" t="str">
        <f>'CALCULO Y BASE'!F36</f>
        <v>SAJ</v>
      </c>
      <c r="D31" s="125">
        <f>'CALCULO Y BASE'!C36</f>
        <v>8159669533</v>
      </c>
      <c r="E31" s="124" t="str">
        <f>'CALCULO Y BASE'!D36</f>
        <v>HEJA9604106P9</v>
      </c>
      <c r="F31" s="124" t="str">
        <f>'CALCULO Y BASE'!E36</f>
        <v>HEJA960410MDFRRL02</v>
      </c>
      <c r="G31" s="58">
        <f>'CALCULO Y BASE'!H36</f>
        <v>43206</v>
      </c>
      <c r="H31" s="124">
        <f>'CALCULO Y BASE'!I36</f>
        <v>123.5</v>
      </c>
      <c r="I31" s="126">
        <f t="shared" ca="1" si="0"/>
        <v>1.8602739726027397</v>
      </c>
    </row>
    <row r="32" spans="1:9" x14ac:dyDescent="0.25">
      <c r="A32" s="124">
        <f>'CALCULO Y BASE'!A37</f>
        <v>513</v>
      </c>
      <c r="B32" s="124" t="str">
        <f>'CALCULO Y BASE'!B37</f>
        <v>ARACELI ESTRADA ROMERO</v>
      </c>
      <c r="C32" s="124" t="str">
        <f>'CALCULO Y BASE'!F37</f>
        <v>ACF</v>
      </c>
      <c r="D32" s="125">
        <f>'CALCULO Y BASE'!C37</f>
        <v>6836500915</v>
      </c>
      <c r="E32" s="124" t="str">
        <f>'CALCULO Y BASE'!D37</f>
        <v>EARA651013IC7</v>
      </c>
      <c r="F32" s="124" t="str">
        <f>'CALCULO Y BASE'!E37</f>
        <v>EARA651013MDFSMR08</v>
      </c>
      <c r="G32" s="58">
        <f>'CALCULO Y BASE'!H37</f>
        <v>43256</v>
      </c>
      <c r="H32" s="124">
        <f>'CALCULO Y BASE'!I37</f>
        <v>123.5</v>
      </c>
      <c r="I32" s="126">
        <f t="shared" ca="1" si="0"/>
        <v>1.7232876712328766</v>
      </c>
    </row>
    <row r="33" spans="1:9" x14ac:dyDescent="0.25">
      <c r="A33">
        <f>'CALCULO Y BASE'!A38</f>
        <v>514</v>
      </c>
      <c r="B33" t="str">
        <f>'CALCULO Y BASE'!B38</f>
        <v>KARLA AURORA BRAVO DOMINGUEZ</v>
      </c>
      <c r="C33" t="str">
        <f>'CALCULO Y BASE'!F38</f>
        <v>SPC</v>
      </c>
      <c r="D33" s="121">
        <f>'CALCULO Y BASE'!C38</f>
        <v>39139818106</v>
      </c>
      <c r="E33" t="str">
        <f>'CALCULO Y BASE'!D38</f>
        <v>BADK9802134D7</v>
      </c>
      <c r="F33" t="str">
        <f>'CALCULO Y BASE'!E38</f>
        <v>BADK980213MVZRMR07</v>
      </c>
      <c r="G33" s="8">
        <f>'CALCULO Y BASE'!H38</f>
        <v>43279</v>
      </c>
      <c r="H33">
        <f>'CALCULO Y BASE'!I38</f>
        <v>123.5</v>
      </c>
      <c r="I33" s="41">
        <f t="shared" ca="1" si="0"/>
        <v>1.6602739726027398</v>
      </c>
    </row>
    <row r="34" spans="1:9" x14ac:dyDescent="0.25">
      <c r="A34">
        <f>'CALCULO Y BASE'!A39</f>
        <v>518</v>
      </c>
      <c r="B34" t="str">
        <f>'CALCULO Y BASE'!B39</f>
        <v>CARLOS JOHAN REYES RODRIGUEZ</v>
      </c>
      <c r="C34" t="str">
        <f>'CALCULO Y BASE'!F39</f>
        <v>SPD</v>
      </c>
      <c r="D34" s="121">
        <f>'CALCULO Y BASE'!C39</f>
        <v>39149938894</v>
      </c>
      <c r="E34" t="str">
        <f>'CALCULO Y BASE'!D39</f>
        <v>RERC990217GTA</v>
      </c>
      <c r="F34" t="str">
        <f>'CALCULO Y BASE'!E39</f>
        <v>RERC990217HDFYDR04</v>
      </c>
      <c r="G34" s="8">
        <f>'CALCULO Y BASE'!H39</f>
        <v>43572</v>
      </c>
      <c r="H34">
        <f>'CALCULO Y BASE'!I39</f>
        <v>123.5</v>
      </c>
      <c r="I34" s="41">
        <f t="shared" ca="1" si="0"/>
        <v>0.8575342465753425</v>
      </c>
    </row>
    <row r="35" spans="1:9" x14ac:dyDescent="0.25">
      <c r="A35">
        <f>'CALCULO Y BASE'!A40</f>
        <v>522</v>
      </c>
      <c r="B35" t="str">
        <f>'CALCULO Y BASE'!B40</f>
        <v>JESUS GARRIDO TELLEZ</v>
      </c>
      <c r="C35" t="str">
        <f>'CALCULO Y BASE'!F40</f>
        <v>SSJ</v>
      </c>
      <c r="D35" s="121">
        <f>'CALCULO Y BASE'!C40</f>
        <v>2179442773</v>
      </c>
      <c r="E35" t="str">
        <f>'CALCULO Y BASE'!D40</f>
        <v>GATJ940123E89</v>
      </c>
      <c r="F35" t="str">
        <f>'CALCULO Y BASE'!E40</f>
        <v>GATJ940123HDFRLS03</v>
      </c>
      <c r="G35" s="8">
        <f>'CALCULO Y BASE'!H40</f>
        <v>43321</v>
      </c>
      <c r="H35">
        <f>'CALCULO Y BASE'!I40</f>
        <v>123.5</v>
      </c>
      <c r="I35" s="41">
        <f t="shared" ca="1" si="0"/>
        <v>1.5452054794520549</v>
      </c>
    </row>
    <row r="36" spans="1:9" x14ac:dyDescent="0.25">
      <c r="A36">
        <f>'CALCULO Y BASE'!A41</f>
        <v>530</v>
      </c>
      <c r="B36" t="str">
        <f>'CALCULO Y BASE'!B41</f>
        <v>LUIS ALAN CERVANTES CONTRERAS</v>
      </c>
      <c r="C36" t="str">
        <f>'CALCULO Y BASE'!F41</f>
        <v>SPC</v>
      </c>
      <c r="D36" s="121">
        <f>'CALCULO Y BASE'!C41</f>
        <v>62169926607</v>
      </c>
      <c r="E36" t="str">
        <f>'CALCULO Y BASE'!D41</f>
        <v>CECL990212N35</v>
      </c>
      <c r="F36" t="str">
        <f>'CALCULO Y BASE'!E41</f>
        <v>CECL990212HDFRNS00</v>
      </c>
      <c r="G36" s="8">
        <f>'CALCULO Y BASE'!H41</f>
        <v>43353</v>
      </c>
      <c r="H36">
        <f>'CALCULO Y BASE'!I41</f>
        <v>123.5</v>
      </c>
      <c r="I36" s="41">
        <f t="shared" ca="1" si="0"/>
        <v>1.4575342465753425</v>
      </c>
    </row>
    <row r="37" spans="1:9" x14ac:dyDescent="0.25">
      <c r="A37">
        <f>'CALCULO Y BASE'!A42</f>
        <v>541</v>
      </c>
      <c r="B37" t="str">
        <f>'CALCULO Y BASE'!B42</f>
        <v>VALERIA TOVAR CASTILLO</v>
      </c>
      <c r="C37" t="str">
        <f>'CALCULO Y BASE'!F42</f>
        <v>SSJ</v>
      </c>
      <c r="D37" s="121">
        <f>'CALCULO Y BASE'!C42</f>
        <v>39149706077</v>
      </c>
      <c r="E37" t="str">
        <f>'CALCULO Y BASE'!D42</f>
        <v>TOCV971204C11</v>
      </c>
      <c r="F37" t="str">
        <f>'CALCULO Y BASE'!E42</f>
        <v>TOCV971204MDFVSL00</v>
      </c>
      <c r="G37" s="8">
        <f>'CALCULO Y BASE'!H42</f>
        <v>43389</v>
      </c>
      <c r="H37">
        <f>'CALCULO Y BASE'!I42</f>
        <v>123.5</v>
      </c>
      <c r="I37" s="41">
        <f t="shared" ca="1" si="0"/>
        <v>1.3589041095890411</v>
      </c>
    </row>
    <row r="38" spans="1:9" x14ac:dyDescent="0.25">
      <c r="A38">
        <f>'CALCULO Y BASE'!A43</f>
        <v>547</v>
      </c>
      <c r="B38" t="str">
        <f>'CALCULO Y BASE'!B43</f>
        <v>KAREN ITZEL REYES PEREZ</v>
      </c>
      <c r="C38" t="str">
        <f>'CALCULO Y BASE'!F43</f>
        <v>SPC</v>
      </c>
      <c r="D38" s="121">
        <f>'CALCULO Y BASE'!C43</f>
        <v>39090000520</v>
      </c>
      <c r="E38" t="str">
        <f>'CALCULO Y BASE'!D43</f>
        <v>REPK000920N55</v>
      </c>
      <c r="F38" t="str">
        <f>'CALCULO Y BASE'!E43</f>
        <v>REPK000920MDFYRRA5</v>
      </c>
      <c r="G38" s="8">
        <f>'CALCULO Y BASE'!H43</f>
        <v>43417</v>
      </c>
      <c r="H38">
        <f>'CALCULO Y BASE'!I43</f>
        <v>123.5</v>
      </c>
      <c r="I38" s="41">
        <f t="shared" ca="1" si="0"/>
        <v>1.2821917808219179</v>
      </c>
    </row>
    <row r="39" spans="1:9" x14ac:dyDescent="0.25">
      <c r="A39">
        <f>'CALCULO Y BASE'!A44</f>
        <v>550</v>
      </c>
      <c r="B39" t="str">
        <f>'CALCULO Y BASE'!B44</f>
        <v>CITLALY ODET ORDOÑEZ CORONA</v>
      </c>
      <c r="C39" t="str">
        <f>'CALCULO Y BASE'!F44</f>
        <v>SAJ</v>
      </c>
      <c r="D39" s="121">
        <f>'CALCULO Y BASE'!C44</f>
        <v>39139563272</v>
      </c>
      <c r="E39" t="str">
        <f>'CALCULO Y BASE'!D44</f>
        <v>OOCC9502211D3</v>
      </c>
      <c r="F39" t="str">
        <f>'CALCULO Y BASE'!E44</f>
        <v>OOCC950221MDFRRT10</v>
      </c>
      <c r="G39" s="8">
        <f>'CALCULO Y BASE'!H44</f>
        <v>43431</v>
      </c>
      <c r="H39">
        <f>'CALCULO Y BASE'!I44</f>
        <v>123.5</v>
      </c>
      <c r="I39" s="41">
        <f t="shared" ca="1" si="0"/>
        <v>1.2438356164383562</v>
      </c>
    </row>
    <row r="40" spans="1:9" x14ac:dyDescent="0.25">
      <c r="A40">
        <f>'CALCULO Y BASE'!A45</f>
        <v>552</v>
      </c>
      <c r="B40" t="str">
        <f>'CALCULO Y BASE'!B45</f>
        <v>SEBASTIAN CHAVEZ GOMEZ</v>
      </c>
      <c r="C40" t="str">
        <f>'CALCULO Y BASE'!F45</f>
        <v>SPC</v>
      </c>
      <c r="D40" s="121">
        <f>'CALCULO Y BASE'!C45</f>
        <v>46160032697</v>
      </c>
      <c r="E40" t="str">
        <f>'CALCULO Y BASE'!D45</f>
        <v>CAGS000214DG1</v>
      </c>
      <c r="F40" t="str">
        <f>'CALCULO Y BASE'!E45</f>
        <v>CAGS000214HDFHMBA2</v>
      </c>
      <c r="G40" s="8">
        <f>'CALCULO Y BASE'!H45</f>
        <v>43431</v>
      </c>
      <c r="H40">
        <f>'CALCULO Y BASE'!I45</f>
        <v>123.5</v>
      </c>
      <c r="I40" s="41">
        <f t="shared" ca="1" si="0"/>
        <v>1.2438356164383562</v>
      </c>
    </row>
    <row r="41" spans="1:9" x14ac:dyDescent="0.25">
      <c r="A41">
        <f>'CALCULO Y BASE'!A46</f>
        <v>554</v>
      </c>
      <c r="B41" t="str">
        <f>'CALCULO Y BASE'!B46</f>
        <v>MICHAEL ANGELLO BRAVO DOMINGUEZ</v>
      </c>
      <c r="C41" t="str">
        <f>'CALCULO Y BASE'!F46</f>
        <v>SAJ</v>
      </c>
      <c r="D41" s="121">
        <f>'CALCULO Y BASE'!C46</f>
        <v>39139419202</v>
      </c>
      <c r="E41" t="str">
        <f>'CALCULO Y BASE'!D46</f>
        <v>BADM9402052Y0</v>
      </c>
      <c r="F41" t="str">
        <f>'CALCULO Y BASE'!E46</f>
        <v>BADM940205HVZRMC09</v>
      </c>
      <c r="G41" s="8">
        <f>'CALCULO Y BASE'!H46</f>
        <v>43800</v>
      </c>
      <c r="H41">
        <f>'CALCULO Y BASE'!I46</f>
        <v>123.5</v>
      </c>
      <c r="I41" s="41">
        <f t="shared" ca="1" si="0"/>
        <v>0.23287671232876711</v>
      </c>
    </row>
    <row r="42" spans="1:9" x14ac:dyDescent="0.25">
      <c r="A42">
        <f>'CALCULO Y BASE'!A47</f>
        <v>566</v>
      </c>
      <c r="B42" t="str">
        <f>'CALCULO Y BASE'!B47</f>
        <v>CRISTINA YOVANNE SANTANA TAPIA</v>
      </c>
      <c r="C42" t="str">
        <f>'CALCULO Y BASE'!F47</f>
        <v>SAJ</v>
      </c>
      <c r="D42" s="121">
        <f>'CALCULO Y BASE'!C47</f>
        <v>38149322208</v>
      </c>
      <c r="E42" t="str">
        <f>'CALCULO Y BASE'!D47</f>
        <v>SATC930618MY4</v>
      </c>
      <c r="F42" t="str">
        <f>'CALCULO Y BASE'!E47</f>
        <v>SATC930618MDFNPR05</v>
      </c>
      <c r="G42" s="8">
        <f>'CALCULO Y BASE'!H47</f>
        <v>43496</v>
      </c>
      <c r="H42">
        <f>'CALCULO Y BASE'!I47</f>
        <v>123.5</v>
      </c>
      <c r="I42" s="41">
        <f t="shared" ca="1" si="0"/>
        <v>1.0657534246575342</v>
      </c>
    </row>
    <row r="43" spans="1:9" x14ac:dyDescent="0.25">
      <c r="A43">
        <f>'CALCULO Y BASE'!A48</f>
        <v>567</v>
      </c>
      <c r="B43" t="str">
        <f>'CALCULO Y BASE'!B48</f>
        <v>MARIA ISABEL MONTALVO CONTRERAS</v>
      </c>
      <c r="C43" t="str">
        <f>'CALCULO Y BASE'!F48</f>
        <v>SPD</v>
      </c>
      <c r="D43" s="121">
        <f>'CALCULO Y BASE'!C48</f>
        <v>11987202311</v>
      </c>
      <c r="E43" t="str">
        <f>'CALCULO Y BASE'!D48</f>
        <v>MOCI720615VBA</v>
      </c>
      <c r="F43" t="str">
        <f>'CALCULO Y BASE'!E48</f>
        <v>MOCI720615MDFNNS01</v>
      </c>
      <c r="G43" s="8">
        <f>'CALCULO Y BASE'!H48</f>
        <v>43497</v>
      </c>
      <c r="H43">
        <f>'CALCULO Y BASE'!I48</f>
        <v>123.5</v>
      </c>
      <c r="I43" s="41">
        <f t="shared" ca="1" si="0"/>
        <v>1.0630136986301371</v>
      </c>
    </row>
    <row r="44" spans="1:9" x14ac:dyDescent="0.25">
      <c r="A44">
        <f>'CALCULO Y BASE'!A49</f>
        <v>573</v>
      </c>
      <c r="B44" t="str">
        <f>'CALCULO Y BASE'!B49</f>
        <v>MARIA FERNANDA CORTES VAZQUEZ</v>
      </c>
      <c r="C44" t="str">
        <f>'CALCULO Y BASE'!F49</f>
        <v>SSJ</v>
      </c>
      <c r="D44" s="121">
        <f>'CALCULO Y BASE'!C49</f>
        <v>5149792730</v>
      </c>
      <c r="E44" t="str">
        <f>'CALCULO Y BASE'!D49</f>
        <v>COVF970320FA0</v>
      </c>
      <c r="F44" t="str">
        <f>'CALCULO Y BASE'!E49</f>
        <v>COVF970320MDFRZR07</v>
      </c>
      <c r="G44" s="8">
        <f>'CALCULO Y BASE'!H49</f>
        <v>43528</v>
      </c>
      <c r="H44">
        <f>'CALCULO Y BASE'!I49</f>
        <v>329.43</v>
      </c>
      <c r="I44" s="41">
        <f t="shared" ca="1" si="0"/>
        <v>0.9780821917808219</v>
      </c>
    </row>
    <row r="45" spans="1:9" x14ac:dyDescent="0.25">
      <c r="A45">
        <f>'CALCULO Y BASE'!A50</f>
        <v>576</v>
      </c>
      <c r="B45" t="str">
        <f>'CALCULO Y BASE'!B50</f>
        <v>ADRIANA LUCIA ESCOBEDO MAGDALENO</v>
      </c>
      <c r="C45" t="str">
        <f>'CALCULO Y BASE'!F50</f>
        <v>SSJ</v>
      </c>
      <c r="D45" s="121">
        <f>'CALCULO Y BASE'!C50</f>
        <v>39119248225</v>
      </c>
      <c r="E45" t="str">
        <f>'CALCULO Y BASE'!D50</f>
        <v>EOMA920926TV3</v>
      </c>
      <c r="F45" t="str">
        <f>'CALCULO Y BASE'!E50</f>
        <v>EOMA920926MDFSGD01</v>
      </c>
      <c r="G45" s="8">
        <f>'CALCULO Y BASE'!H50</f>
        <v>43544</v>
      </c>
      <c r="H45">
        <f>'CALCULO Y BASE'!I50</f>
        <v>123.5</v>
      </c>
      <c r="I45" s="41">
        <f t="shared" ca="1" si="0"/>
        <v>0.9342465753424658</v>
      </c>
    </row>
    <row r="46" spans="1:9" x14ac:dyDescent="0.25">
      <c r="A46">
        <f>'CALCULO Y BASE'!A51</f>
        <v>587</v>
      </c>
      <c r="B46" t="str">
        <f>'CALCULO Y BASE'!B51</f>
        <v>ELIA LEON MEJIA</v>
      </c>
      <c r="C46" t="str">
        <f>'CALCULO Y BASE'!F51</f>
        <v>SSJ</v>
      </c>
      <c r="D46" s="121">
        <f>'CALCULO Y BASE'!C51</f>
        <v>39129737803</v>
      </c>
      <c r="E46" t="str">
        <f>'CALCULO Y BASE'!D51</f>
        <v>LEME970216RH3</v>
      </c>
      <c r="F46" t="str">
        <f>'CALCULO Y BASE'!E51</f>
        <v>LEME970216MDFNJL08</v>
      </c>
      <c r="G46" s="8">
        <f>'CALCULO Y BASE'!H51</f>
        <v>43580</v>
      </c>
      <c r="H46">
        <f>'CALCULO Y BASE'!I51</f>
        <v>123.5</v>
      </c>
      <c r="I46" s="41">
        <f t="shared" ca="1" si="0"/>
        <v>0.83561643835616439</v>
      </c>
    </row>
    <row r="47" spans="1:9" x14ac:dyDescent="0.25">
      <c r="A47">
        <f>'CALCULO Y BASE'!A52</f>
        <v>590</v>
      </c>
      <c r="B47" t="str">
        <f>'CALCULO Y BASE'!B52</f>
        <v>XIMENA VIRIDIANA MORA GONZALEZ</v>
      </c>
      <c r="C47" t="str">
        <f>'CALCULO Y BASE'!F52</f>
        <v>SAJ</v>
      </c>
      <c r="D47" s="121">
        <f>'CALCULO Y BASE'!C52</f>
        <v>12130135168</v>
      </c>
      <c r="E47" t="str">
        <f>'CALCULO Y BASE'!D52</f>
        <v>MOGX011003PI0</v>
      </c>
      <c r="F47" t="str">
        <f>'CALCULO Y BASE'!E52</f>
        <v>MOGX011003MDFRNMA6</v>
      </c>
      <c r="G47" s="8">
        <f>'CALCULO Y BASE'!H52</f>
        <v>43592</v>
      </c>
      <c r="H47">
        <f>'CALCULO Y BASE'!I52</f>
        <v>123.5</v>
      </c>
      <c r="I47" s="41">
        <f t="shared" ca="1" si="0"/>
        <v>0.80273972602739729</v>
      </c>
    </row>
    <row r="48" spans="1:9" x14ac:dyDescent="0.25">
      <c r="A48">
        <f>'CALCULO Y BASE'!A53</f>
        <v>600</v>
      </c>
      <c r="B48" t="str">
        <f>'CALCULO Y BASE'!B53</f>
        <v>NOEMI DOLORES CORREA</v>
      </c>
      <c r="C48" t="str">
        <f>'CALCULO Y BASE'!F53</f>
        <v>SSJ</v>
      </c>
      <c r="D48" s="121">
        <f>'CALCULO Y BASE'!C53</f>
        <v>39139404220</v>
      </c>
      <c r="E48" t="str">
        <f>'CALCULO Y BASE'!D53</f>
        <v>DOCN940114MR7</v>
      </c>
      <c r="F48" t="str">
        <f>'CALCULO Y BASE'!E53</f>
        <v>DOCN940114MDFLRM09</v>
      </c>
      <c r="G48" s="8">
        <f>'CALCULO Y BASE'!H53</f>
        <v>43624</v>
      </c>
      <c r="H48">
        <f>'CALCULO Y BASE'!I53</f>
        <v>123.5</v>
      </c>
      <c r="I48" s="41">
        <f t="shared" ca="1" si="0"/>
        <v>0.71506849315068488</v>
      </c>
    </row>
    <row r="49" spans="1:9" x14ac:dyDescent="0.25">
      <c r="A49">
        <f>'CALCULO Y BASE'!A54</f>
        <v>602</v>
      </c>
      <c r="B49" t="str">
        <f>'CALCULO Y BASE'!B54</f>
        <v>ALLAN MARTINEZ ALONSO</v>
      </c>
      <c r="C49" t="str">
        <f>'CALCULO Y BASE'!F54</f>
        <v>SPD</v>
      </c>
      <c r="D49" s="121">
        <f>'CALCULO Y BASE'!C54</f>
        <v>2179526492</v>
      </c>
      <c r="E49" t="str">
        <f>'CALCULO Y BASE'!D54</f>
        <v>MAAA951006CF2</v>
      </c>
      <c r="F49" t="str">
        <f>'CALCULO Y BASE'!E54</f>
        <v>MAAA951006HMCRLL08</v>
      </c>
      <c r="G49" s="8">
        <f>'CALCULO Y BASE'!H54</f>
        <v>43647</v>
      </c>
      <c r="H49">
        <f>'CALCULO Y BASE'!I54</f>
        <v>123.5</v>
      </c>
      <c r="I49" s="41">
        <f t="shared" ca="1" si="0"/>
        <v>0.65205479452054793</v>
      </c>
    </row>
    <row r="50" spans="1:9" x14ac:dyDescent="0.25">
      <c r="A50">
        <f>'CALCULO Y BASE'!A55</f>
        <v>604</v>
      </c>
      <c r="B50" t="str">
        <f>'CALCULO Y BASE'!B55</f>
        <v>ILIANA NALLELY ESTRADA ESTRADA</v>
      </c>
      <c r="C50" t="str">
        <f>'CALCULO Y BASE'!F55</f>
        <v>ACF</v>
      </c>
      <c r="D50" s="121">
        <f>'CALCULO Y BASE'!C55</f>
        <v>39078703145</v>
      </c>
      <c r="E50" t="str">
        <f>'CALCULO Y BASE'!D55</f>
        <v>EAEI8712092X9</v>
      </c>
      <c r="F50" t="str">
        <f>'CALCULO Y BASE'!E55</f>
        <v>EAEI871209MDFSSL05</v>
      </c>
      <c r="G50" s="8">
        <f>'CALCULO Y BASE'!H55</f>
        <v>43652</v>
      </c>
      <c r="H50">
        <f>'CALCULO Y BASE'!I55</f>
        <v>123.5</v>
      </c>
      <c r="I50" s="41">
        <f t="shared" ca="1" si="0"/>
        <v>0.63835616438356169</v>
      </c>
    </row>
    <row r="51" spans="1:9" x14ac:dyDescent="0.25">
      <c r="A51">
        <f>'CALCULO Y BASE'!A56</f>
        <v>605</v>
      </c>
      <c r="B51" t="str">
        <f>'CALCULO Y BASE'!B56</f>
        <v>ESTEFANIA NAVARRO BAEZ</v>
      </c>
      <c r="C51" t="str">
        <f>'CALCULO Y BASE'!F56</f>
        <v>SPD</v>
      </c>
      <c r="D51" s="121">
        <f>'CALCULO Y BASE'!C56</f>
        <v>39109318376</v>
      </c>
      <c r="E51" t="str">
        <f>'CALCULO Y BASE'!D56</f>
        <v>NABE930314EE8</v>
      </c>
      <c r="F51" t="str">
        <f>'CALCULO Y BASE'!E56</f>
        <v>NABE930314MDFVZS08</v>
      </c>
      <c r="G51" s="8">
        <f>'CALCULO Y BASE'!H56</f>
        <v>43733</v>
      </c>
      <c r="H51">
        <f>'CALCULO Y BASE'!I56</f>
        <v>123.5</v>
      </c>
      <c r="I51" s="41">
        <f t="shared" ca="1" si="0"/>
        <v>0.41643835616438357</v>
      </c>
    </row>
    <row r="52" spans="1:9" x14ac:dyDescent="0.25">
      <c r="A52">
        <f>'CALCULO Y BASE'!A57</f>
        <v>607</v>
      </c>
      <c r="B52" t="str">
        <f>'CALCULO Y BASE'!B57</f>
        <v>MARILYN   MORA ESCALANTE</v>
      </c>
      <c r="C52" t="str">
        <f>'CALCULO Y BASE'!F57</f>
        <v>SAJ</v>
      </c>
      <c r="D52" s="121">
        <f>'CALCULO Y BASE'!C57</f>
        <v>42109106403</v>
      </c>
      <c r="E52" t="str">
        <f>'CALCULO Y BASE'!D57</f>
        <v>MOEM911206GB4</v>
      </c>
      <c r="F52" t="str">
        <f>'CALCULO Y BASE'!E57</f>
        <v>MOEM911206MTLRSR14</v>
      </c>
      <c r="G52" s="8">
        <f>'CALCULO Y BASE'!H57</f>
        <v>43739</v>
      </c>
      <c r="H52">
        <f>'CALCULO Y BASE'!I57</f>
        <v>123.5</v>
      </c>
      <c r="I52" s="41">
        <f t="shared" ca="1" si="0"/>
        <v>0.4</v>
      </c>
    </row>
    <row r="53" spans="1:9" x14ac:dyDescent="0.25">
      <c r="A53">
        <f>'CALCULO Y BASE'!A58</f>
        <v>609</v>
      </c>
      <c r="B53" t="str">
        <f>'CALCULO Y BASE'!B58</f>
        <v>SALMA  RUIZ AGUILAR</v>
      </c>
      <c r="C53" t="str">
        <f>'CALCULO Y BASE'!F58</f>
        <v>SPD</v>
      </c>
      <c r="D53" s="121">
        <f>'CALCULO Y BASE'!C58</f>
        <v>39149940114</v>
      </c>
      <c r="E53" t="str">
        <f>'CALCULO Y BASE'!D58</f>
        <v>RUAS9906277IA</v>
      </c>
      <c r="F53" t="str">
        <f>'CALCULO Y BASE'!E58</f>
        <v>RUAS990627MDFZGL08</v>
      </c>
      <c r="G53" s="8">
        <f>'CALCULO Y BASE'!H58</f>
        <v>43754</v>
      </c>
      <c r="H53">
        <f>'CALCULO Y BASE'!I58</f>
        <v>123.5</v>
      </c>
      <c r="I53" s="41">
        <f t="shared" ca="1" si="0"/>
        <v>0.35890410958904112</v>
      </c>
    </row>
    <row r="54" spans="1:9" x14ac:dyDescent="0.25">
      <c r="A54">
        <f>'CALCULO Y BASE'!A59</f>
        <v>610</v>
      </c>
      <c r="B54" t="str">
        <f>'CALCULO Y BASE'!B59</f>
        <v>ROCIO PAOLA CALVA ANTONIO</v>
      </c>
      <c r="C54" t="str">
        <f>'CALCULO Y BASE'!F59</f>
        <v>SPC</v>
      </c>
      <c r="D54" s="121">
        <f>'CALCULO Y BASE'!C59</f>
        <v>62169917671</v>
      </c>
      <c r="E54" t="str">
        <f>'CALCULO Y BASE'!D59</f>
        <v>CAAR990826SF5</v>
      </c>
      <c r="F54" t="str">
        <f>'CALCULO Y BASE'!E59</f>
        <v>CAAR990826MDFLNC09</v>
      </c>
      <c r="G54" s="8">
        <f>'CALCULO Y BASE'!H59</f>
        <v>43800</v>
      </c>
      <c r="H54">
        <f>'CALCULO Y BASE'!I59</f>
        <v>123.5</v>
      </c>
      <c r="I54" s="41">
        <f t="shared" ca="1" si="0"/>
        <v>0.23287671232876711</v>
      </c>
    </row>
    <row r="55" spans="1:9" x14ac:dyDescent="0.25">
      <c r="A55">
        <f>'CALCULO Y BASE'!A60</f>
        <v>611</v>
      </c>
      <c r="B55" t="str">
        <f>'CALCULO Y BASE'!B60</f>
        <v>NORMA BELEN CASTILLO PEÑA</v>
      </c>
      <c r="C55" t="str">
        <f>'CALCULO Y BASE'!F60</f>
        <v>SSF</v>
      </c>
      <c r="D55" s="121">
        <f>'CALCULO Y BASE'!C60</f>
        <v>39047500283</v>
      </c>
      <c r="E55" t="str">
        <f>'CALCULO Y BASE'!D60</f>
        <v>CAPN750202EM0</v>
      </c>
      <c r="F55" t="str">
        <f>'CALCULO Y BASE'!E60</f>
        <v>CAPN750202MDFSXR08</v>
      </c>
      <c r="G55" s="8">
        <f>'CALCULO Y BASE'!H60</f>
        <v>43800</v>
      </c>
      <c r="H55">
        <f>'CALCULO Y BASE'!I60</f>
        <v>123.5</v>
      </c>
      <c r="I55" s="41">
        <f t="shared" ca="1" si="0"/>
        <v>0.23287671232876711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G34"/>
  <sheetViews>
    <sheetView topLeftCell="A2" zoomScale="90" workbookViewId="0">
      <selection activeCell="K16" sqref="K16"/>
    </sheetView>
  </sheetViews>
  <sheetFormatPr baseColWidth="10" defaultRowHeight="15" x14ac:dyDescent="0.25"/>
  <cols>
    <col min="1" max="1" width="19.140625" customWidth="1"/>
    <col min="2" max="2" width="14.140625" customWidth="1"/>
    <col min="4" max="4" width="12.28515625" customWidth="1"/>
  </cols>
  <sheetData>
    <row r="1" spans="1:6" ht="26.25" x14ac:dyDescent="0.4">
      <c r="A1" s="129" t="s">
        <v>464</v>
      </c>
      <c r="B1" s="129"/>
      <c r="C1" s="129"/>
      <c r="D1" s="129"/>
      <c r="E1" s="129"/>
      <c r="F1" s="129"/>
    </row>
    <row r="2" spans="1:6" ht="15.75" x14ac:dyDescent="0.25">
      <c r="A2" s="31"/>
      <c r="B2" s="31"/>
      <c r="C2" s="31"/>
      <c r="D2" s="31"/>
      <c r="E2" s="31"/>
    </row>
    <row r="3" spans="1:6" ht="15.75" x14ac:dyDescent="0.25">
      <c r="A3" s="31"/>
      <c r="B3" s="31"/>
      <c r="C3" s="31"/>
      <c r="D3" s="31"/>
      <c r="E3" s="31"/>
    </row>
    <row r="4" spans="1:6" x14ac:dyDescent="0.25">
      <c r="A4" s="128">
        <f ca="1">TODAY()</f>
        <v>43885</v>
      </c>
      <c r="B4" s="128"/>
      <c r="C4" s="128"/>
      <c r="D4" s="128"/>
      <c r="E4" s="128"/>
      <c r="F4" s="128"/>
    </row>
    <row r="5" spans="1:6" x14ac:dyDescent="0.25">
      <c r="A5" s="5"/>
      <c r="B5" s="5"/>
      <c r="C5" s="5"/>
      <c r="D5" s="5"/>
      <c r="E5" s="5"/>
      <c r="F5" s="5"/>
    </row>
    <row r="6" spans="1:6" x14ac:dyDescent="0.25">
      <c r="A6" s="33" t="s">
        <v>35</v>
      </c>
      <c r="D6" t="s">
        <v>52</v>
      </c>
      <c r="E6" s="104" t="str">
        <f ca="1">'CALCULO Y BASE'!$C$3</f>
        <v>FEBRERO</v>
      </c>
    </row>
    <row r="7" spans="1:6" x14ac:dyDescent="0.25">
      <c r="A7" t="s">
        <v>458</v>
      </c>
    </row>
    <row r="8" spans="1:6" x14ac:dyDescent="0.25">
      <c r="A8" s="33" t="s">
        <v>34</v>
      </c>
      <c r="B8" t="s">
        <v>459</v>
      </c>
      <c r="C8" s="34" t="s">
        <v>29</v>
      </c>
      <c r="D8" t="s">
        <v>460</v>
      </c>
    </row>
    <row r="10" spans="1:6" x14ac:dyDescent="0.25">
      <c r="A10" t="s">
        <v>461</v>
      </c>
      <c r="C10" t="s">
        <v>32</v>
      </c>
      <c r="D10">
        <v>522</v>
      </c>
    </row>
    <row r="11" spans="1:6" x14ac:dyDescent="0.25">
      <c r="A11" t="s">
        <v>36</v>
      </c>
      <c r="C11" s="3">
        <f ca="1">E25</f>
        <v>3670.4249199999999</v>
      </c>
    </row>
    <row r="12" spans="1:6" x14ac:dyDescent="0.25">
      <c r="A12" s="101">
        <f ca="1">VLOOKUP(D10,'CALCULO Y BASE'!A6:AD78,30)</f>
        <v>3670.4249199999999</v>
      </c>
    </row>
    <row r="14" spans="1:6" x14ac:dyDescent="0.25">
      <c r="A14" t="s">
        <v>28</v>
      </c>
      <c r="B14" t="str">
        <f>VLOOKUP(D10,'CALCULO Y BASE'!$A$6:$AD$78,2)</f>
        <v>JESUS GARRIDO TELLEZ</v>
      </c>
    </row>
    <row r="15" spans="1:6" x14ac:dyDescent="0.25">
      <c r="A15" t="s">
        <v>33</v>
      </c>
      <c r="B15" t="str">
        <f>VLOOKUP(D10,'CALCULO Y BASE'!$A$6:$AD$78,6)</f>
        <v>SSJ</v>
      </c>
    </row>
    <row r="16" spans="1:6" x14ac:dyDescent="0.25">
      <c r="A16" t="s">
        <v>29</v>
      </c>
      <c r="B16" t="str">
        <f>VLOOKUP(D10,'CALCULO Y BASE'!A6:AD31,4)</f>
        <v>RODC7205202E9</v>
      </c>
    </row>
    <row r="17" spans="1:5" x14ac:dyDescent="0.25">
      <c r="A17" t="s">
        <v>1</v>
      </c>
      <c r="B17" t="str">
        <f>VLOOKUP(D10,'CALCULO Y BASE'!A6:AD31,5)</f>
        <v>RODC720520MDFDZL05</v>
      </c>
    </row>
    <row r="18" spans="1:5" x14ac:dyDescent="0.25">
      <c r="A18" t="s">
        <v>30</v>
      </c>
      <c r="B18">
        <f>VLOOKUP(D10,'CALCULO Y BASE'!A6:AD31,3)</f>
        <v>20917243774</v>
      </c>
    </row>
    <row r="20" spans="1:5" x14ac:dyDescent="0.25">
      <c r="A20" t="s">
        <v>4</v>
      </c>
      <c r="B20" s="2">
        <f ca="1">VLOOKUP(D10,'CALCULO Y BASE'!A6:AD31,17)</f>
        <v>3581.5</v>
      </c>
      <c r="D20" t="s">
        <v>39</v>
      </c>
      <c r="E20" s="2">
        <f ca="1">VLOOKUP(D10,'CALCULO Y BASE'!A6:AD31,23)</f>
        <v>203.30008000000004</v>
      </c>
    </row>
    <row r="21" spans="1:5" x14ac:dyDescent="0.25">
      <c r="A21" t="s">
        <v>10</v>
      </c>
      <c r="B21" s="2">
        <f ca="1">VLOOKUP(D10,'CALCULO Y BASE'!A6:AD31,24)</f>
        <v>382.46</v>
      </c>
      <c r="D21" t="s">
        <v>2</v>
      </c>
      <c r="E21" s="2">
        <f>VLOOKUP(D10,'CALCULO Y BASE'!A6:AD31,27)</f>
        <v>90.234999999999999</v>
      </c>
    </row>
    <row r="22" spans="1:5" x14ac:dyDescent="0.25">
      <c r="A22" t="s">
        <v>50</v>
      </c>
      <c r="B22" s="27">
        <f>VLOOKUP(D10,'CALCULO Y BASE'!A6:AD31,28)</f>
        <v>0</v>
      </c>
      <c r="D22" t="s">
        <v>51</v>
      </c>
      <c r="E22" s="27">
        <f>VLOOKUP(D10,'CALCULO Y BASE'!A6:AD31,29)</f>
        <v>0</v>
      </c>
    </row>
    <row r="23" spans="1:5" x14ac:dyDescent="0.25">
      <c r="B23" s="2">
        <f ca="1">SUM(B20:B22)</f>
        <v>3963.96</v>
      </c>
      <c r="E23" s="2">
        <f ca="1">SUM(E20:E22)</f>
        <v>293.53508000000005</v>
      </c>
    </row>
    <row r="25" spans="1:5" x14ac:dyDescent="0.25">
      <c r="C25" s="10" t="s">
        <v>462</v>
      </c>
      <c r="E25" s="28">
        <f ca="1">B23-E23</f>
        <v>3670.4249199999999</v>
      </c>
    </row>
    <row r="27" spans="1:5" x14ac:dyDescent="0.25">
      <c r="B27" s="10"/>
      <c r="C27" s="10"/>
    </row>
    <row r="28" spans="1:5" x14ac:dyDescent="0.25">
      <c r="B28" s="10"/>
      <c r="C28" s="10"/>
    </row>
    <row r="30" spans="1:5" x14ac:dyDescent="0.25">
      <c r="A30" s="9"/>
      <c r="B30" s="9"/>
      <c r="C30" s="9"/>
      <c r="D30" s="9"/>
    </row>
    <row r="31" spans="1:5" x14ac:dyDescent="0.25">
      <c r="A31" t="s">
        <v>31</v>
      </c>
    </row>
    <row r="32" spans="1:5" x14ac:dyDescent="0.25">
      <c r="A32" t="s">
        <v>545</v>
      </c>
    </row>
    <row r="33" spans="1:7" x14ac:dyDescent="0.25">
      <c r="A33" s="6"/>
      <c r="B33" s="6"/>
      <c r="C33" s="6"/>
      <c r="D33" s="6"/>
      <c r="E33" s="6"/>
      <c r="F33" s="6"/>
      <c r="G33" s="6"/>
    </row>
    <row r="34" spans="1:7" x14ac:dyDescent="0.25">
      <c r="A34" t="s">
        <v>463</v>
      </c>
      <c r="B34" s="9"/>
      <c r="C34" s="9"/>
      <c r="D34" s="9"/>
    </row>
  </sheetData>
  <mergeCells count="2">
    <mergeCell ref="A4:F4"/>
    <mergeCell ref="A1:F1"/>
  </mergeCells>
  <phoneticPr fontId="0" type="noConversion"/>
  <dataValidations count="1">
    <dataValidation type="list" allowBlank="1" showInputMessage="1" showErrorMessage="1" sqref="D6" xr:uid="{00000000-0002-0000-0200-000000000000}">
      <formula1>"MENSUAL"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AF78"/>
  <sheetViews>
    <sheetView tabSelected="1" workbookViewId="0">
      <pane xSplit="2" ySplit="5" topLeftCell="C6" activePane="bottomRight" state="frozen"/>
      <selection pane="topRight" activeCell="B1" sqref="B1"/>
      <selection pane="bottomLeft" activeCell="A6" sqref="A6"/>
      <selection pane="bottomRight" activeCell="E2" sqref="E2"/>
    </sheetView>
  </sheetViews>
  <sheetFormatPr baseColWidth="10" defaultRowHeight="15" x14ac:dyDescent="0.25"/>
  <cols>
    <col min="1" max="1" width="7" bestFit="1" customWidth="1"/>
    <col min="2" max="2" width="37.5703125" customWidth="1"/>
    <col min="3" max="3" width="22.5703125" customWidth="1"/>
    <col min="4" max="4" width="16.5703125" customWidth="1"/>
    <col min="5" max="5" width="22" customWidth="1"/>
    <col min="6" max="6" width="9.28515625" customWidth="1"/>
    <col min="7" max="7" width="8.42578125" customWidth="1"/>
    <col min="8" max="8" width="22" customWidth="1"/>
    <col min="9" max="15" width="14.28515625" customWidth="1"/>
    <col min="16" max="16" width="10.7109375" bestFit="1" customWidth="1"/>
    <col min="17" max="17" width="11.42578125" bestFit="1" customWidth="1"/>
    <col min="18" max="18" width="9" bestFit="1" customWidth="1"/>
    <col min="19" max="19" width="9.5703125" bestFit="1" customWidth="1"/>
    <col min="20" max="20" width="7" bestFit="1" customWidth="1"/>
    <col min="21" max="21" width="15.42578125" bestFit="1" customWidth="1"/>
    <col min="22" max="22" width="7.42578125" bestFit="1" customWidth="1"/>
    <col min="23" max="23" width="9.5703125" bestFit="1" customWidth="1"/>
    <col min="24" max="24" width="13.7109375" bestFit="1" customWidth="1"/>
    <col min="25" max="25" width="10.5703125" bestFit="1" customWidth="1"/>
    <col min="26" max="26" width="11.7109375" customWidth="1"/>
    <col min="27" max="27" width="9.5703125" bestFit="1" customWidth="1"/>
    <col min="28" max="29" width="9.5703125" customWidth="1"/>
    <col min="30" max="30" width="18.42578125" customWidth="1"/>
    <col min="31" max="31" width="54.85546875" bestFit="1" customWidth="1"/>
  </cols>
  <sheetData>
    <row r="1" spans="1:32" x14ac:dyDescent="0.25">
      <c r="B1" t="s">
        <v>464</v>
      </c>
      <c r="R1" s="3"/>
    </row>
    <row r="3" spans="1:32" x14ac:dyDescent="0.25">
      <c r="B3" t="s">
        <v>47</v>
      </c>
      <c r="C3" s="100" t="str">
        <f ca="1">UPPER(TEXT(TODAY(), "mmmm"))</f>
        <v>FEBRERO</v>
      </c>
    </row>
    <row r="4" spans="1:32" x14ac:dyDescent="0.25">
      <c r="A4" s="119">
        <v>1</v>
      </c>
      <c r="B4" s="119">
        <v>2</v>
      </c>
      <c r="C4" s="119">
        <v>3</v>
      </c>
      <c r="D4" s="119">
        <v>4</v>
      </c>
      <c r="E4" s="119">
        <v>5</v>
      </c>
      <c r="F4" s="119">
        <v>6</v>
      </c>
      <c r="G4" s="119">
        <v>7</v>
      </c>
      <c r="H4" s="119">
        <v>8</v>
      </c>
      <c r="I4" s="119">
        <v>9</v>
      </c>
      <c r="J4" s="119">
        <v>10</v>
      </c>
      <c r="K4" s="119">
        <v>11</v>
      </c>
      <c r="L4" s="119">
        <v>12</v>
      </c>
      <c r="M4" s="119">
        <v>13</v>
      </c>
      <c r="N4" s="119">
        <v>14</v>
      </c>
      <c r="O4" s="119">
        <v>15</v>
      </c>
      <c r="P4" s="119">
        <v>16</v>
      </c>
      <c r="Q4" s="119">
        <v>17</v>
      </c>
      <c r="R4" s="119">
        <v>18</v>
      </c>
      <c r="S4" s="119">
        <v>19</v>
      </c>
      <c r="T4" s="119">
        <v>20</v>
      </c>
      <c r="U4" s="119">
        <v>21</v>
      </c>
      <c r="V4" s="119">
        <v>22</v>
      </c>
      <c r="W4" s="119">
        <v>23</v>
      </c>
      <c r="X4" s="119">
        <v>24</v>
      </c>
      <c r="Y4" s="119">
        <v>25</v>
      </c>
      <c r="Z4" s="119">
        <v>26</v>
      </c>
      <c r="AA4" s="119">
        <v>27</v>
      </c>
      <c r="AB4" s="119">
        <v>28</v>
      </c>
      <c r="AC4" s="119">
        <v>29</v>
      </c>
      <c r="AD4" s="119">
        <v>30</v>
      </c>
    </row>
    <row r="5" spans="1:32" x14ac:dyDescent="0.25">
      <c r="A5" s="37" t="s">
        <v>70</v>
      </c>
      <c r="B5" s="37" t="s">
        <v>71</v>
      </c>
      <c r="C5" s="37" t="s">
        <v>72</v>
      </c>
      <c r="D5" s="37" t="s">
        <v>0</v>
      </c>
      <c r="E5" s="37" t="s">
        <v>1</v>
      </c>
      <c r="F5" s="37"/>
      <c r="G5" s="37"/>
      <c r="H5" s="37" t="s">
        <v>73</v>
      </c>
      <c r="I5" s="37" t="s">
        <v>499</v>
      </c>
      <c r="J5" s="38" t="s">
        <v>503</v>
      </c>
      <c r="K5" s="38" t="s">
        <v>504</v>
      </c>
      <c r="L5" s="38" t="s">
        <v>62</v>
      </c>
      <c r="M5" s="38" t="s">
        <v>546</v>
      </c>
      <c r="N5" s="38" t="s">
        <v>547</v>
      </c>
      <c r="O5" s="44" t="s">
        <v>379</v>
      </c>
      <c r="P5" s="44" t="s">
        <v>342</v>
      </c>
      <c r="Q5" t="s">
        <v>52</v>
      </c>
      <c r="R5" s="4" t="s">
        <v>5</v>
      </c>
      <c r="S5" s="4" t="s">
        <v>6</v>
      </c>
      <c r="T5" s="4" t="s">
        <v>7</v>
      </c>
      <c r="U5" s="4" t="s">
        <v>8</v>
      </c>
      <c r="V5" s="4" t="s">
        <v>9</v>
      </c>
      <c r="W5" s="4" t="s">
        <v>507</v>
      </c>
      <c r="X5" s="4" t="s">
        <v>10</v>
      </c>
      <c r="Y5" s="4" t="s">
        <v>46</v>
      </c>
      <c r="Z5" s="4" t="s">
        <v>548</v>
      </c>
      <c r="AA5" s="4" t="s">
        <v>2</v>
      </c>
      <c r="AB5" s="4" t="s">
        <v>540</v>
      </c>
      <c r="AC5" s="4" t="s">
        <v>541</v>
      </c>
      <c r="AD5" s="4" t="s">
        <v>27</v>
      </c>
    </row>
    <row r="6" spans="1:32" s="21" customFormat="1" x14ac:dyDescent="0.25">
      <c r="A6">
        <v>1</v>
      </c>
      <c r="B6" t="s">
        <v>75</v>
      </c>
      <c r="C6" s="119">
        <v>7078605396</v>
      </c>
      <c r="D6" t="s">
        <v>77</v>
      </c>
      <c r="E6" t="s">
        <v>78</v>
      </c>
      <c r="F6" s="87" t="str">
        <f>VLOOKUP($G6,TABLAS!$P$28:$R$43,3)</f>
        <v>MPD</v>
      </c>
      <c r="G6" s="102">
        <v>15</v>
      </c>
      <c r="H6" s="8">
        <v>41852</v>
      </c>
      <c r="I6">
        <v>507.11</v>
      </c>
      <c r="J6"/>
      <c r="K6"/>
      <c r="L6">
        <f ca="1">VLOOKUP($C$3,TABLAS!$A$2:$B$13,2,0)</f>
        <v>29</v>
      </c>
      <c r="M6" s="123">
        <v>0</v>
      </c>
      <c r="N6" s="123">
        <v>0</v>
      </c>
      <c r="O6" s="123">
        <v>0</v>
      </c>
      <c r="P6">
        <f ca="1">L6-M6+N6+O6</f>
        <v>29</v>
      </c>
      <c r="Q6" s="22">
        <f ca="1">I6*P6</f>
        <v>14706.19</v>
      </c>
      <c r="R6" s="21">
        <f ca="1">VLOOKUP($Q6,TARIFAS!$U$7:$X$18,1)</f>
        <v>12009.95</v>
      </c>
      <c r="S6" s="24">
        <f ca="1">Q6-R6</f>
        <v>2696.24</v>
      </c>
      <c r="T6" s="21">
        <f ca="1">VLOOKUP($Q6,TARIFAS!$U$7:$X$18,4)%</f>
        <v>0.21359999999999998</v>
      </c>
      <c r="U6" s="24">
        <f ca="1">S6*T6</f>
        <v>575.91686399999992</v>
      </c>
      <c r="V6">
        <f ca="1">VLOOKUP($Q6,TARIFAS!$U$7:$X$18,3)</f>
        <v>1271.8699999999999</v>
      </c>
      <c r="W6" s="3">
        <f ca="1">U6+V6</f>
        <v>1847.7868639999997</v>
      </c>
      <c r="X6" s="21">
        <f ca="1">VLOOKUP($Q6,TARIFAS!$U$24:$W$34,3)</f>
        <v>0</v>
      </c>
      <c r="Y6" s="32">
        <f t="shared" ref="Y6:Y37" ca="1" si="0">Q6-W6+X6</f>
        <v>12858.403136000001</v>
      </c>
      <c r="Z6" s="101">
        <f t="shared" ref="Z6:Z8" si="1">O6*I6*25%</f>
        <v>0</v>
      </c>
      <c r="AA6" s="2">
        <f>'IMSS MESUAL'!X8+('IMSS BIM'!O8/2)</f>
        <v>401.00864000000001</v>
      </c>
      <c r="AB6" s="2">
        <v>0</v>
      </c>
      <c r="AC6" s="2">
        <v>0</v>
      </c>
      <c r="AD6" s="23">
        <f ca="1">Y6+Z6-AA6+AB6-AC6</f>
        <v>12457.394496000001</v>
      </c>
    </row>
    <row r="7" spans="1:32" x14ac:dyDescent="0.25">
      <c r="A7">
        <v>3</v>
      </c>
      <c r="B7" t="s">
        <v>80</v>
      </c>
      <c r="C7" s="119">
        <v>11947307382</v>
      </c>
      <c r="D7" t="s">
        <v>82</v>
      </c>
      <c r="E7" t="s">
        <v>83</v>
      </c>
      <c r="F7" s="87" t="str">
        <f>VLOOKUP($G7,TABLAS!$P$28:$R$43,3)</f>
        <v>FYD</v>
      </c>
      <c r="G7" s="103">
        <v>14</v>
      </c>
      <c r="H7" s="8">
        <v>42370</v>
      </c>
      <c r="I7">
        <v>328.53</v>
      </c>
      <c r="L7">
        <f ca="1">VLOOKUP($C$3,TABLAS!$A$2:$B$13,2,0)</f>
        <v>29</v>
      </c>
      <c r="M7" s="127">
        <v>0</v>
      </c>
      <c r="N7" s="123">
        <v>0</v>
      </c>
      <c r="O7" s="123">
        <v>0</v>
      </c>
      <c r="P7">
        <f t="shared" ref="P7:P64" ca="1" si="2">L7-M7+N7</f>
        <v>29</v>
      </c>
      <c r="Q7" s="22">
        <f t="shared" ref="Q7:Q70" ca="1" si="3">I7*L7</f>
        <v>9527.369999999999</v>
      </c>
      <c r="R7" s="21">
        <f ca="1">VLOOKUP($Q7,TARIFAS!$U$7:$X$18,1)</f>
        <v>8629.2099999999991</v>
      </c>
      <c r="S7" s="24">
        <f t="shared" ref="S7:S60" ca="1" si="4">Q7-R7</f>
        <v>898.15999999999985</v>
      </c>
      <c r="T7" s="21">
        <f ca="1">VLOOKUP($Q7,TARIFAS!$U$7:$X$18,4)%</f>
        <v>0.16</v>
      </c>
      <c r="U7" s="24">
        <f t="shared" ref="U7:U60" ca="1" si="5">S7*T7</f>
        <v>143.70559999999998</v>
      </c>
      <c r="V7">
        <f ca="1">VLOOKUP($Q7,TARIFAS!$U$7:$X$18,3)</f>
        <v>692.96</v>
      </c>
      <c r="W7" s="3">
        <f t="shared" ref="W7:W60" ca="1" si="6">U7+V7</f>
        <v>836.66560000000004</v>
      </c>
      <c r="X7" s="21">
        <f ca="1">VLOOKUP($Q7,TARIFAS!$U$24:$W$34,3)</f>
        <v>0</v>
      </c>
      <c r="Y7" s="86">
        <f t="shared" ca="1" si="0"/>
        <v>8690.7043999999987</v>
      </c>
      <c r="Z7" s="101">
        <f t="shared" si="1"/>
        <v>0</v>
      </c>
      <c r="AA7" s="2">
        <f>'IMSS MESUAL'!X9+('IMSS BIM'!O9/2)</f>
        <v>248.44335999999998</v>
      </c>
      <c r="AB7" s="2">
        <v>0</v>
      </c>
      <c r="AC7" s="2">
        <v>0</v>
      </c>
      <c r="AD7" s="23">
        <f t="shared" ref="AD7:AD60" ca="1" si="7">Y7-AA7+AB7-AC7</f>
        <v>8442.2610399999994</v>
      </c>
    </row>
    <row r="8" spans="1:32" x14ac:dyDescent="0.25">
      <c r="A8">
        <v>9</v>
      </c>
      <c r="B8" t="s">
        <v>85</v>
      </c>
      <c r="C8" s="119">
        <v>39028216297</v>
      </c>
      <c r="D8" t="s">
        <v>87</v>
      </c>
      <c r="E8" t="s">
        <v>88</v>
      </c>
      <c r="F8" s="87" t="str">
        <f>VLOOKUP($G8,TABLAS!$P$28:$R$43,3)</f>
        <v>CAB</v>
      </c>
      <c r="G8" s="102">
        <v>13</v>
      </c>
      <c r="H8" s="8">
        <v>41852</v>
      </c>
      <c r="I8">
        <v>273.89999999999998</v>
      </c>
      <c r="L8">
        <f ca="1">VLOOKUP($C$3,TABLAS!$A$2:$B$13,2,0)</f>
        <v>29</v>
      </c>
      <c r="M8" s="123">
        <v>0</v>
      </c>
      <c r="N8" s="123">
        <v>0</v>
      </c>
      <c r="O8" s="123">
        <v>0</v>
      </c>
      <c r="P8">
        <f t="shared" ca="1" si="2"/>
        <v>29</v>
      </c>
      <c r="Q8" s="22">
        <f t="shared" ca="1" si="3"/>
        <v>7943.0999999999995</v>
      </c>
      <c r="R8" s="21">
        <f ca="1">VLOOKUP($Q8,TARIFAS!$U$7:$X$18,1)</f>
        <v>4910.1899999999996</v>
      </c>
      <c r="S8" s="24">
        <f t="shared" ca="1" si="4"/>
        <v>3032.91</v>
      </c>
      <c r="T8" s="21">
        <f ca="1">VLOOKUP($Q8,TARIFAS!$U$7:$X$18,4)%</f>
        <v>0.10880000000000001</v>
      </c>
      <c r="U8" s="24">
        <f t="shared" ca="1" si="5"/>
        <v>329.98060800000002</v>
      </c>
      <c r="V8">
        <f ca="1">VLOOKUP($Q8,TARIFAS!$U$7:$X$18,3)</f>
        <v>288.33</v>
      </c>
      <c r="W8" s="3">
        <f t="shared" ca="1" si="6"/>
        <v>618.310608</v>
      </c>
      <c r="X8" s="21">
        <f ca="1">VLOOKUP($Q8,TARIFAS!$U$24:$W$34,3)</f>
        <v>0</v>
      </c>
      <c r="Y8" s="86">
        <f ca="1">Q8-W8+X8</f>
        <v>7324.7893919999997</v>
      </c>
      <c r="Z8" s="101">
        <f t="shared" si="1"/>
        <v>0</v>
      </c>
      <c r="AA8" s="2">
        <f>'IMSS MESUAL'!X10+('IMSS BIM'!O10/2)</f>
        <v>201.76424000000003</v>
      </c>
      <c r="AB8" s="2">
        <v>0</v>
      </c>
      <c r="AC8" s="2">
        <v>0</v>
      </c>
      <c r="AD8" s="23">
        <f t="shared" ca="1" si="7"/>
        <v>7123.0251519999993</v>
      </c>
    </row>
    <row r="9" spans="1:32" x14ac:dyDescent="0.25">
      <c r="A9" s="117">
        <v>15</v>
      </c>
      <c r="B9" t="s">
        <v>90</v>
      </c>
      <c r="C9" s="119">
        <v>39957323668</v>
      </c>
      <c r="D9" t="s">
        <v>92</v>
      </c>
      <c r="E9" t="s">
        <v>93</v>
      </c>
      <c r="F9" s="87" t="str">
        <f>VLOOKUP($G9,TABLAS!$P$28:$R$43,3)</f>
        <v>MPD</v>
      </c>
      <c r="G9" s="103">
        <v>15</v>
      </c>
      <c r="H9" s="8">
        <v>41852</v>
      </c>
      <c r="I9">
        <v>382.07</v>
      </c>
      <c r="L9">
        <f ca="1">VLOOKUP($C$3,TABLAS!$A$2:$B$13,2,0)</f>
        <v>29</v>
      </c>
      <c r="M9" s="123">
        <v>0</v>
      </c>
      <c r="N9" s="123">
        <v>0</v>
      </c>
      <c r="O9" s="123">
        <v>0</v>
      </c>
      <c r="P9">
        <f t="shared" ca="1" si="2"/>
        <v>29</v>
      </c>
      <c r="Q9" s="22">
        <f t="shared" ca="1" si="3"/>
        <v>11080.03</v>
      </c>
      <c r="R9" s="21">
        <f ca="1">VLOOKUP($Q9,TARIFAS!$U$7:$X$18,1)</f>
        <v>10031.08</v>
      </c>
      <c r="S9" s="24">
        <f t="shared" ca="1" si="4"/>
        <v>1048.9500000000007</v>
      </c>
      <c r="T9" s="21">
        <f ca="1">VLOOKUP($Q9,TARIFAS!$U$7:$X$18,4)%</f>
        <v>0.17920000000000003</v>
      </c>
      <c r="U9" s="24">
        <f t="shared" ca="1" si="5"/>
        <v>187.97184000000016</v>
      </c>
      <c r="V9">
        <f ca="1">VLOOKUP($Q9,TARIFAS!$U$7:$X$18,3)</f>
        <v>917.26</v>
      </c>
      <c r="W9" s="3">
        <f t="shared" ca="1" si="6"/>
        <v>1105.2318400000001</v>
      </c>
      <c r="X9" s="21">
        <f ca="1">VLOOKUP($Q9,TARIFAS!$U$24:$W$34,3)</f>
        <v>0</v>
      </c>
      <c r="Y9" s="86">
        <f t="shared" ca="1" si="0"/>
        <v>9974.7981600000003</v>
      </c>
      <c r="Z9" s="101">
        <f t="shared" ref="Z9:Z60" si="8">O9*I9*25%</f>
        <v>0</v>
      </c>
      <c r="AA9" s="2">
        <f>'IMSS MESUAL'!X11+('IMSS BIM'!O11/2)</f>
        <v>294.21731999999997</v>
      </c>
      <c r="AB9" s="2">
        <v>0</v>
      </c>
      <c r="AC9" s="2">
        <v>0</v>
      </c>
      <c r="AD9" s="23">
        <f t="shared" ca="1" si="7"/>
        <v>9680.5808400000005</v>
      </c>
    </row>
    <row r="10" spans="1:32" x14ac:dyDescent="0.25">
      <c r="A10" s="117">
        <v>23</v>
      </c>
      <c r="B10" t="s">
        <v>95</v>
      </c>
      <c r="C10" s="119">
        <v>39098710864</v>
      </c>
      <c r="D10" t="s">
        <v>97</v>
      </c>
      <c r="E10" t="s">
        <v>98</v>
      </c>
      <c r="F10" s="87" t="str">
        <f>VLOOKUP($G10,TABLAS!$P$28:$R$43,3)</f>
        <v>OPE</v>
      </c>
      <c r="G10" s="102">
        <v>10</v>
      </c>
      <c r="H10" s="8">
        <v>41852</v>
      </c>
      <c r="I10">
        <v>317.89999999999998</v>
      </c>
      <c r="L10">
        <f ca="1">VLOOKUP($C$3,TABLAS!$A$2:$B$13,2,0)</f>
        <v>29</v>
      </c>
      <c r="M10" s="123">
        <v>0</v>
      </c>
      <c r="N10" s="123">
        <v>0</v>
      </c>
      <c r="O10" s="123">
        <v>0</v>
      </c>
      <c r="P10">
        <f t="shared" ca="1" si="2"/>
        <v>29</v>
      </c>
      <c r="Q10" s="22">
        <f t="shared" ca="1" si="3"/>
        <v>9219.0999999999985</v>
      </c>
      <c r="R10" s="21">
        <f ca="1">VLOOKUP($Q10,TARIFAS!$U$7:$X$18,1)</f>
        <v>8629.2099999999991</v>
      </c>
      <c r="S10" s="24">
        <f t="shared" ca="1" si="4"/>
        <v>589.88999999999942</v>
      </c>
      <c r="T10" s="21">
        <f ca="1">VLOOKUP($Q10,TARIFAS!$U$7:$X$18,4)%</f>
        <v>0.16</v>
      </c>
      <c r="U10" s="24">
        <f t="shared" ca="1" si="5"/>
        <v>94.382399999999905</v>
      </c>
      <c r="V10">
        <f ca="1">VLOOKUP($Q10,TARIFAS!$U$7:$X$18,3)</f>
        <v>692.96</v>
      </c>
      <c r="W10" s="3">
        <f t="shared" ca="1" si="6"/>
        <v>787.3424</v>
      </c>
      <c r="X10" s="21">
        <f ca="1">VLOOKUP($Q10,TARIFAS!$U$24:$W$34,3)</f>
        <v>0</v>
      </c>
      <c r="Y10" s="86">
        <f t="shared" ca="1" si="0"/>
        <v>8431.757599999999</v>
      </c>
      <c r="Z10" s="101">
        <f t="shared" si="8"/>
        <v>0</v>
      </c>
      <c r="AA10" s="2">
        <f>'IMSS MESUAL'!X12+('IMSS BIM'!O12/2)</f>
        <v>239.37024000000002</v>
      </c>
      <c r="AB10" s="2">
        <v>0</v>
      </c>
      <c r="AC10" s="2">
        <v>0</v>
      </c>
      <c r="AD10" s="23">
        <f t="shared" ca="1" si="7"/>
        <v>8192.3873599999988</v>
      </c>
      <c r="AF10" s="122"/>
    </row>
    <row r="11" spans="1:32" x14ac:dyDescent="0.25">
      <c r="A11" s="117">
        <v>28</v>
      </c>
      <c r="B11" t="s">
        <v>100</v>
      </c>
      <c r="C11" s="119">
        <v>11977941902</v>
      </c>
      <c r="D11" t="s">
        <v>102</v>
      </c>
      <c r="E11" t="s">
        <v>103</v>
      </c>
      <c r="F11" s="87" t="str">
        <f>VLOOKUP($G11,TABLAS!$P$28:$R$43,3)</f>
        <v>ACF</v>
      </c>
      <c r="G11" s="103">
        <v>12</v>
      </c>
      <c r="H11" s="8">
        <v>41852</v>
      </c>
      <c r="I11">
        <v>382.07</v>
      </c>
      <c r="L11">
        <f ca="1">VLOOKUP($C$3,TABLAS!$A$2:$B$13,2,0)</f>
        <v>29</v>
      </c>
      <c r="M11" s="123">
        <v>0</v>
      </c>
      <c r="N11" s="123">
        <v>0</v>
      </c>
      <c r="O11" s="123">
        <v>0</v>
      </c>
      <c r="P11">
        <f t="shared" ca="1" si="2"/>
        <v>29</v>
      </c>
      <c r="Q11" s="22">
        <f t="shared" ca="1" si="3"/>
        <v>11080.03</v>
      </c>
      <c r="R11" s="21">
        <f ca="1">VLOOKUP($Q11,TARIFAS!$U$7:$X$18,1)</f>
        <v>10031.08</v>
      </c>
      <c r="S11" s="24">
        <f t="shared" ca="1" si="4"/>
        <v>1048.9500000000007</v>
      </c>
      <c r="T11" s="21">
        <f ca="1">VLOOKUP($Q11,TARIFAS!$U$7:$X$18,4)%</f>
        <v>0.17920000000000003</v>
      </c>
      <c r="U11" s="24">
        <f t="shared" ca="1" si="5"/>
        <v>187.97184000000016</v>
      </c>
      <c r="V11">
        <f ca="1">VLOOKUP($Q11,TARIFAS!$U$7:$X$18,3)</f>
        <v>917.26</v>
      </c>
      <c r="W11" s="3">
        <f t="shared" ca="1" si="6"/>
        <v>1105.2318400000001</v>
      </c>
      <c r="X11" s="21">
        <f ca="1">VLOOKUP($Q11,TARIFAS!$U$24:$W$34,3)</f>
        <v>0</v>
      </c>
      <c r="Y11" s="86">
        <f t="shared" ca="1" si="0"/>
        <v>9974.7981600000003</v>
      </c>
      <c r="Z11" s="101">
        <f t="shared" si="8"/>
        <v>0</v>
      </c>
      <c r="AA11" s="2">
        <f>'IMSS MESUAL'!X13+('IMSS BIM'!O13/2)</f>
        <v>294.21731999999997</v>
      </c>
      <c r="AB11" s="2">
        <v>0</v>
      </c>
      <c r="AC11" s="2">
        <v>0</v>
      </c>
      <c r="AD11" s="23">
        <f t="shared" ca="1" si="7"/>
        <v>9680.5808400000005</v>
      </c>
    </row>
    <row r="12" spans="1:32" x14ac:dyDescent="0.25">
      <c r="A12" s="117">
        <v>43</v>
      </c>
      <c r="B12" t="s">
        <v>105</v>
      </c>
      <c r="C12" s="119">
        <v>39937231387</v>
      </c>
      <c r="D12" t="s">
        <v>107</v>
      </c>
      <c r="E12" t="s">
        <v>108</v>
      </c>
      <c r="F12" s="87" t="str">
        <f>VLOOKUP($G12,TABLAS!$P$28:$R$43,3)</f>
        <v>SSJ</v>
      </c>
      <c r="G12" s="102">
        <v>1</v>
      </c>
      <c r="H12" s="8">
        <v>41852</v>
      </c>
      <c r="I12">
        <v>215.24</v>
      </c>
      <c r="L12">
        <f ca="1">VLOOKUP($C$3,TABLAS!$A$2:$B$13,2,0)</f>
        <v>29</v>
      </c>
      <c r="M12" s="123">
        <v>0</v>
      </c>
      <c r="N12" s="123">
        <v>0</v>
      </c>
      <c r="O12" s="123">
        <v>0</v>
      </c>
      <c r="P12">
        <f t="shared" ca="1" si="2"/>
        <v>29</v>
      </c>
      <c r="Q12" s="22">
        <f t="shared" ca="1" si="3"/>
        <v>6241.96</v>
      </c>
      <c r="R12" s="21">
        <f ca="1">VLOOKUP($Q12,TARIFAS!$U$7:$X$18,1)</f>
        <v>4910.1899999999996</v>
      </c>
      <c r="S12" s="24">
        <f t="shared" ca="1" si="4"/>
        <v>1331.7700000000004</v>
      </c>
      <c r="T12" s="21">
        <f ca="1">VLOOKUP($Q12,TARIFAS!$U$7:$X$18,4)%</f>
        <v>0.10880000000000001</v>
      </c>
      <c r="U12" s="24">
        <f t="shared" ca="1" si="5"/>
        <v>144.89657600000007</v>
      </c>
      <c r="V12">
        <f ca="1">VLOOKUP($Q12,TARIFAS!$U$7:$X$18,3)</f>
        <v>288.33</v>
      </c>
      <c r="W12" s="3">
        <f t="shared" ca="1" si="6"/>
        <v>433.22657600000002</v>
      </c>
      <c r="X12" s="21">
        <f ca="1">VLOOKUP($Q12,TARIFAS!$U$24:$W$34,3)</f>
        <v>253.54</v>
      </c>
      <c r="Y12" s="86">
        <f t="shared" ca="1" si="0"/>
        <v>6062.273424</v>
      </c>
      <c r="Z12" s="101">
        <f t="shared" si="8"/>
        <v>0</v>
      </c>
      <c r="AA12" s="2">
        <f>'IMSS MESUAL'!X14+('IMSS BIM'!O14/2)</f>
        <v>157.255</v>
      </c>
      <c r="AB12" s="2">
        <v>0</v>
      </c>
      <c r="AC12" s="2">
        <v>0</v>
      </c>
      <c r="AD12" s="23">
        <f t="shared" ca="1" si="7"/>
        <v>5905.0184239999999</v>
      </c>
    </row>
    <row r="13" spans="1:32" x14ac:dyDescent="0.25">
      <c r="A13" s="117">
        <v>133</v>
      </c>
      <c r="B13" t="s">
        <v>110</v>
      </c>
      <c r="C13" s="119">
        <v>1109306629</v>
      </c>
      <c r="D13" t="s">
        <v>112</v>
      </c>
      <c r="E13" t="s">
        <v>113</v>
      </c>
      <c r="F13" s="87" t="str">
        <f>VLOOKUP($G13,TABLAS!$P$28:$R$43,3)</f>
        <v>SCCC</v>
      </c>
      <c r="G13" s="103">
        <v>16</v>
      </c>
      <c r="H13" s="8">
        <v>41976</v>
      </c>
      <c r="I13">
        <v>137</v>
      </c>
      <c r="L13">
        <f ca="1">VLOOKUP($C$3,TABLAS!$A$2:$B$13,2,0)</f>
        <v>29</v>
      </c>
      <c r="M13" s="123">
        <v>0</v>
      </c>
      <c r="N13" s="123">
        <v>0</v>
      </c>
      <c r="O13" s="123">
        <v>0</v>
      </c>
      <c r="P13">
        <f t="shared" ca="1" si="2"/>
        <v>29</v>
      </c>
      <c r="Q13" s="22">
        <f t="shared" ca="1" si="3"/>
        <v>3973</v>
      </c>
      <c r="R13" s="21">
        <f ca="1">VLOOKUP($Q13,TARIFAS!$U$7:$X$18,1)</f>
        <v>578.53</v>
      </c>
      <c r="S13" s="24">
        <f t="shared" ca="1" si="4"/>
        <v>3394.4700000000003</v>
      </c>
      <c r="T13" s="21">
        <f ca="1">VLOOKUP($Q13,TARIFAS!$U$7:$X$18,4)%</f>
        <v>6.4000000000000001E-2</v>
      </c>
      <c r="U13" s="24">
        <f t="shared" ca="1" si="5"/>
        <v>217.24608000000003</v>
      </c>
      <c r="V13">
        <f ca="1">VLOOKUP($Q13,TARIFAS!$U$7:$X$18,3)</f>
        <v>11.11</v>
      </c>
      <c r="W13" s="3">
        <f t="shared" ca="1" si="6"/>
        <v>228.35608000000002</v>
      </c>
      <c r="X13" s="21">
        <f ca="1">VLOOKUP($Q13,TARIFAS!$U$24:$W$34,3)</f>
        <v>382.46</v>
      </c>
      <c r="Y13" s="86">
        <f t="shared" ca="1" si="0"/>
        <v>4127.1039199999996</v>
      </c>
      <c r="Z13" s="101">
        <f t="shared" si="8"/>
        <v>0</v>
      </c>
      <c r="AA13" s="2">
        <f>'IMSS MESUAL'!X15+('IMSS BIM'!O15/2)</f>
        <v>100.1</v>
      </c>
      <c r="AB13" s="2">
        <v>0</v>
      </c>
      <c r="AC13" s="2">
        <v>0</v>
      </c>
      <c r="AD13" s="23">
        <f t="shared" ca="1" si="7"/>
        <v>4027.0039199999997</v>
      </c>
    </row>
    <row r="14" spans="1:32" x14ac:dyDescent="0.25">
      <c r="A14" s="117">
        <v>157</v>
      </c>
      <c r="B14" t="s">
        <v>115</v>
      </c>
      <c r="C14" s="119">
        <v>96088833718</v>
      </c>
      <c r="D14" t="s">
        <v>117</v>
      </c>
      <c r="E14" t="s">
        <v>118</v>
      </c>
      <c r="F14" s="87" t="str">
        <f>VLOOKUP($G14,TABLAS!$P$28:$R$43,3)</f>
        <v>CAB</v>
      </c>
      <c r="G14" s="102">
        <v>13</v>
      </c>
      <c r="H14" s="8">
        <v>42062</v>
      </c>
      <c r="I14">
        <v>215.24</v>
      </c>
      <c r="L14">
        <f ca="1">VLOOKUP($C$3,TABLAS!$A$2:$B$13,2,0)</f>
        <v>29</v>
      </c>
      <c r="M14" s="123">
        <v>0</v>
      </c>
      <c r="N14" s="123">
        <v>0</v>
      </c>
      <c r="O14" s="123">
        <v>0</v>
      </c>
      <c r="P14">
        <f t="shared" ca="1" si="2"/>
        <v>29</v>
      </c>
      <c r="Q14" s="22">
        <f t="shared" ca="1" si="3"/>
        <v>6241.96</v>
      </c>
      <c r="R14" s="21">
        <f ca="1">VLOOKUP($Q14,TARIFAS!$U$7:$X$18,1)</f>
        <v>4910.1899999999996</v>
      </c>
      <c r="S14" s="24">
        <f t="shared" ca="1" si="4"/>
        <v>1331.7700000000004</v>
      </c>
      <c r="T14" s="21">
        <f ca="1">VLOOKUP($Q14,TARIFAS!$U$7:$X$18,4)%</f>
        <v>0.10880000000000001</v>
      </c>
      <c r="U14" s="24">
        <f t="shared" ca="1" si="5"/>
        <v>144.89657600000007</v>
      </c>
      <c r="V14">
        <f ca="1">VLOOKUP($Q14,TARIFAS!$U$7:$X$18,3)</f>
        <v>288.33</v>
      </c>
      <c r="W14" s="3">
        <f t="shared" ca="1" si="6"/>
        <v>433.22657600000002</v>
      </c>
      <c r="X14" s="21">
        <f ca="1">VLOOKUP($Q14,TARIFAS!$U$24:$W$34,3)</f>
        <v>253.54</v>
      </c>
      <c r="Y14" s="86">
        <f t="shared" ca="1" si="0"/>
        <v>6062.273424</v>
      </c>
      <c r="Z14" s="101">
        <f t="shared" si="8"/>
        <v>0</v>
      </c>
      <c r="AA14" s="2">
        <f>'IMSS MESUAL'!X16+('IMSS BIM'!O16/2)</f>
        <v>157.255</v>
      </c>
      <c r="AB14" s="2">
        <v>0</v>
      </c>
      <c r="AC14" s="2">
        <v>0</v>
      </c>
      <c r="AD14" s="23">
        <f t="shared" ca="1" si="7"/>
        <v>5905.0184239999999</v>
      </c>
    </row>
    <row r="15" spans="1:32" x14ac:dyDescent="0.25">
      <c r="A15" s="117">
        <v>181</v>
      </c>
      <c r="B15" t="s">
        <v>120</v>
      </c>
      <c r="C15" s="119">
        <v>7907002443</v>
      </c>
      <c r="D15" t="s">
        <v>122</v>
      </c>
      <c r="E15" t="s">
        <v>123</v>
      </c>
      <c r="F15" s="87" t="str">
        <f>VLOOKUP($G15,TABLAS!$P$28:$R$43,3)</f>
        <v>SSJ</v>
      </c>
      <c r="G15" s="103">
        <v>1</v>
      </c>
      <c r="H15" s="8">
        <v>42188</v>
      </c>
      <c r="I15">
        <v>123.5</v>
      </c>
      <c r="L15">
        <f ca="1">VLOOKUP($C$3,TABLAS!$A$2:$B$13,2,0)</f>
        <v>29</v>
      </c>
      <c r="M15" s="123">
        <v>0</v>
      </c>
      <c r="N15" s="123">
        <v>0</v>
      </c>
      <c r="O15" s="123">
        <v>0</v>
      </c>
      <c r="P15">
        <f t="shared" ca="1" si="2"/>
        <v>29</v>
      </c>
      <c r="Q15" s="22">
        <f t="shared" ca="1" si="3"/>
        <v>3581.5</v>
      </c>
      <c r="R15" s="21">
        <f ca="1">VLOOKUP($Q15,TARIFAS!$U$7:$X$18,1)</f>
        <v>578.53</v>
      </c>
      <c r="S15" s="24">
        <f t="shared" ca="1" si="4"/>
        <v>3002.9700000000003</v>
      </c>
      <c r="T15" s="21">
        <f ca="1">VLOOKUP($Q15,TARIFAS!$U$7:$X$18,4)%</f>
        <v>6.4000000000000001E-2</v>
      </c>
      <c r="U15" s="24">
        <f t="shared" ca="1" si="5"/>
        <v>192.19008000000002</v>
      </c>
      <c r="V15">
        <f ca="1">VLOOKUP($Q15,TARIFAS!$U$7:$X$18,3)</f>
        <v>11.11</v>
      </c>
      <c r="W15" s="3">
        <f t="shared" ca="1" si="6"/>
        <v>203.30008000000004</v>
      </c>
      <c r="X15" s="21">
        <f ca="1">VLOOKUP($Q15,TARIFAS!$U$24:$W$34,3)</f>
        <v>382.46</v>
      </c>
      <c r="Y15" s="86">
        <f t="shared" ca="1" si="0"/>
        <v>3760.6599200000001</v>
      </c>
      <c r="Z15" s="101">
        <f t="shared" si="8"/>
        <v>0</v>
      </c>
      <c r="AA15" s="2">
        <f>'IMSS MESUAL'!X17+('IMSS BIM'!O17/2)</f>
        <v>90.234999999999999</v>
      </c>
      <c r="AB15" s="2">
        <v>0</v>
      </c>
      <c r="AC15" s="2">
        <v>0</v>
      </c>
      <c r="AD15" s="23">
        <f t="shared" ca="1" si="7"/>
        <v>3670.4249199999999</v>
      </c>
    </row>
    <row r="16" spans="1:32" x14ac:dyDescent="0.25">
      <c r="A16" s="117">
        <v>207</v>
      </c>
      <c r="B16" t="s">
        <v>125</v>
      </c>
      <c r="C16" s="119">
        <v>2157397924</v>
      </c>
      <c r="D16" t="s">
        <v>127</v>
      </c>
      <c r="E16" t="s">
        <v>128</v>
      </c>
      <c r="F16" s="87" t="str">
        <f>VLOOKUP($G16,TABLAS!$P$28:$R$43,3)</f>
        <v>SAJ</v>
      </c>
      <c r="G16" s="102">
        <v>3</v>
      </c>
      <c r="H16" s="8">
        <v>42296</v>
      </c>
      <c r="I16">
        <v>123.5</v>
      </c>
      <c r="L16">
        <f ca="1">VLOOKUP($C$3,TABLAS!$A$2:$B$13,2,0)</f>
        <v>29</v>
      </c>
      <c r="M16" s="123">
        <v>0</v>
      </c>
      <c r="N16" s="123">
        <v>0</v>
      </c>
      <c r="O16" s="123">
        <v>0</v>
      </c>
      <c r="P16">
        <f t="shared" ca="1" si="2"/>
        <v>29</v>
      </c>
      <c r="Q16" s="22">
        <f t="shared" ca="1" si="3"/>
        <v>3581.5</v>
      </c>
      <c r="R16" s="21">
        <f ca="1">VLOOKUP($Q16,TARIFAS!$U$7:$X$18,1)</f>
        <v>578.53</v>
      </c>
      <c r="S16" s="24">
        <f t="shared" ca="1" si="4"/>
        <v>3002.9700000000003</v>
      </c>
      <c r="T16" s="21">
        <f ca="1">VLOOKUP($Q16,TARIFAS!$U$7:$X$18,4)%</f>
        <v>6.4000000000000001E-2</v>
      </c>
      <c r="U16" s="24">
        <f t="shared" ca="1" si="5"/>
        <v>192.19008000000002</v>
      </c>
      <c r="V16">
        <f ca="1">VLOOKUP($Q16,TARIFAS!$U$7:$X$18,3)</f>
        <v>11.11</v>
      </c>
      <c r="W16" s="3">
        <f t="shared" ca="1" si="6"/>
        <v>203.30008000000004</v>
      </c>
      <c r="X16" s="21">
        <f ca="1">VLOOKUP($Q16,TARIFAS!$U$24:$W$34,3)</f>
        <v>382.46</v>
      </c>
      <c r="Y16" s="86">
        <f t="shared" ca="1" si="0"/>
        <v>3760.6599200000001</v>
      </c>
      <c r="Z16" s="101">
        <f t="shared" si="8"/>
        <v>0</v>
      </c>
      <c r="AA16" s="2">
        <f>'IMSS MESUAL'!X18+('IMSS BIM'!O18/2)</f>
        <v>90.234999999999999</v>
      </c>
      <c r="AB16" s="2">
        <v>0</v>
      </c>
      <c r="AC16" s="2">
        <v>0</v>
      </c>
      <c r="AD16" s="23">
        <f t="shared" ca="1" si="7"/>
        <v>3670.4249199999999</v>
      </c>
    </row>
    <row r="17" spans="1:30" x14ac:dyDescent="0.25">
      <c r="A17" s="117">
        <v>208</v>
      </c>
      <c r="B17" t="s">
        <v>130</v>
      </c>
      <c r="C17" s="119">
        <v>30109309259</v>
      </c>
      <c r="D17" t="s">
        <v>132</v>
      </c>
      <c r="E17" t="s">
        <v>133</v>
      </c>
      <c r="F17" s="87" t="str">
        <f>VLOOKUP($G17,TABLAS!$P$28:$R$43,3)</f>
        <v>SAJ</v>
      </c>
      <c r="G17" s="103">
        <v>3</v>
      </c>
      <c r="H17" s="8">
        <v>42296</v>
      </c>
      <c r="I17">
        <v>123.5</v>
      </c>
      <c r="L17">
        <f ca="1">VLOOKUP($C$3,TABLAS!$A$2:$B$13,2,0)</f>
        <v>29</v>
      </c>
      <c r="M17" s="123">
        <v>0</v>
      </c>
      <c r="N17" s="123">
        <v>0</v>
      </c>
      <c r="O17" s="123">
        <v>0</v>
      </c>
      <c r="P17">
        <f t="shared" ca="1" si="2"/>
        <v>29</v>
      </c>
      <c r="Q17" s="22">
        <f t="shared" ca="1" si="3"/>
        <v>3581.5</v>
      </c>
      <c r="R17" s="21">
        <f ca="1">VLOOKUP($Q17,TARIFAS!$U$7:$X$18,1)</f>
        <v>578.53</v>
      </c>
      <c r="S17" s="24">
        <f t="shared" ca="1" si="4"/>
        <v>3002.9700000000003</v>
      </c>
      <c r="T17" s="21">
        <f ca="1">VLOOKUP($Q17,TARIFAS!$U$7:$X$18,4)%</f>
        <v>6.4000000000000001E-2</v>
      </c>
      <c r="U17" s="24">
        <f t="shared" ca="1" si="5"/>
        <v>192.19008000000002</v>
      </c>
      <c r="V17">
        <f ca="1">VLOOKUP($Q17,TARIFAS!$U$7:$X$18,3)</f>
        <v>11.11</v>
      </c>
      <c r="W17" s="3">
        <f t="shared" ca="1" si="6"/>
        <v>203.30008000000004</v>
      </c>
      <c r="X17" s="21">
        <f ca="1">VLOOKUP($Q17,TARIFAS!$U$24:$W$34,3)</f>
        <v>382.46</v>
      </c>
      <c r="Y17" s="86">
        <f t="shared" ca="1" si="0"/>
        <v>3760.6599200000001</v>
      </c>
      <c r="Z17" s="101">
        <f t="shared" si="8"/>
        <v>0</v>
      </c>
      <c r="AA17" s="2">
        <f>'IMSS MESUAL'!X19+('IMSS BIM'!O19/2)</f>
        <v>90.234999999999999</v>
      </c>
      <c r="AB17" s="2">
        <v>0</v>
      </c>
      <c r="AC17" s="2">
        <v>0</v>
      </c>
      <c r="AD17" s="23">
        <f t="shared" ca="1" si="7"/>
        <v>3670.4249199999999</v>
      </c>
    </row>
    <row r="18" spans="1:30" s="17" customFormat="1" x14ac:dyDescent="0.25">
      <c r="A18" s="118">
        <v>227</v>
      </c>
      <c r="B18" s="17" t="s">
        <v>135</v>
      </c>
      <c r="C18" s="120">
        <v>18149299788</v>
      </c>
      <c r="D18" s="17" t="s">
        <v>137</v>
      </c>
      <c r="E18" s="17" t="s">
        <v>138</v>
      </c>
      <c r="F18" s="108" t="str">
        <f>VLOOKUP($G18,TABLAS!$P$28:$R$43,3)</f>
        <v>SAJ</v>
      </c>
      <c r="G18" s="109">
        <v>3</v>
      </c>
      <c r="H18" s="110">
        <v>43734</v>
      </c>
      <c r="I18" s="17">
        <v>105.41</v>
      </c>
      <c r="L18" s="17">
        <f ca="1">VLOOKUP($C$3,TABLAS!$A$2:$B$13,2,0)</f>
        <v>29</v>
      </c>
      <c r="M18" s="123">
        <v>0</v>
      </c>
      <c r="N18" s="123">
        <v>0</v>
      </c>
      <c r="O18" s="123">
        <v>0</v>
      </c>
      <c r="P18">
        <f t="shared" ca="1" si="2"/>
        <v>29</v>
      </c>
      <c r="Q18" s="111">
        <f t="shared" ca="1" si="3"/>
        <v>3056.89</v>
      </c>
      <c r="R18" s="112">
        <f ca="1">VLOOKUP($Q18,TARIFAS!$U$7:$X$18,1)</f>
        <v>578.53</v>
      </c>
      <c r="S18" s="113">
        <f t="shared" ca="1" si="4"/>
        <v>2478.3599999999997</v>
      </c>
      <c r="T18" s="112">
        <f ca="1">VLOOKUP($Q18,TARIFAS!$U$7:$X$18,4)%</f>
        <v>6.4000000000000001E-2</v>
      </c>
      <c r="U18" s="113">
        <f t="shared" ca="1" si="5"/>
        <v>158.61503999999999</v>
      </c>
      <c r="V18" s="17">
        <f ca="1">VLOOKUP($Q18,TARIFAS!$U$7:$X$18,3)</f>
        <v>11.11</v>
      </c>
      <c r="W18" s="114">
        <f t="shared" ca="1" si="6"/>
        <v>169.72503999999998</v>
      </c>
      <c r="X18" s="112">
        <f ca="1">VLOOKUP($Q18,TARIFAS!$U$24:$W$34,3)</f>
        <v>406.62</v>
      </c>
      <c r="Y18" s="115">
        <f t="shared" ca="1" si="0"/>
        <v>3293.78496</v>
      </c>
      <c r="Z18" s="101">
        <f t="shared" si="8"/>
        <v>0</v>
      </c>
      <c r="AA18" s="116">
        <f>'IMSS MESUAL'!X20+('IMSS BIM'!O20/2)</f>
        <v>83.215000000000003</v>
      </c>
      <c r="AB18" s="116">
        <v>0</v>
      </c>
      <c r="AC18" s="116">
        <v>0</v>
      </c>
      <c r="AD18" s="23">
        <f t="shared" ca="1" si="7"/>
        <v>3210.5699599999998</v>
      </c>
    </row>
    <row r="19" spans="1:30" s="21" customFormat="1" x14ac:dyDescent="0.25">
      <c r="A19" s="117">
        <v>251</v>
      </c>
      <c r="B19" t="s">
        <v>140</v>
      </c>
      <c r="C19" s="119">
        <v>26169732034</v>
      </c>
      <c r="D19" t="s">
        <v>142</v>
      </c>
      <c r="E19" t="s">
        <v>143</v>
      </c>
      <c r="F19" s="87" t="str">
        <f>VLOOKUP($G19,TABLAS!$P$28:$R$43,3)</f>
        <v>SSJ</v>
      </c>
      <c r="G19" s="103">
        <v>1</v>
      </c>
      <c r="H19" s="8">
        <v>42438</v>
      </c>
      <c r="I19">
        <v>123.5</v>
      </c>
      <c r="J19"/>
      <c r="K19"/>
      <c r="L19">
        <f ca="1">VLOOKUP($C$3,TABLAS!$A$2:$B$13,2,0)</f>
        <v>29</v>
      </c>
      <c r="M19" s="123">
        <v>0</v>
      </c>
      <c r="N19" s="123">
        <v>0</v>
      </c>
      <c r="O19" s="123">
        <v>0</v>
      </c>
      <c r="P19">
        <f t="shared" ca="1" si="2"/>
        <v>29</v>
      </c>
      <c r="Q19" s="22">
        <f t="shared" ca="1" si="3"/>
        <v>3581.5</v>
      </c>
      <c r="R19" s="21">
        <f ca="1">VLOOKUP($Q19,TARIFAS!$U$7:$X$18,1)</f>
        <v>578.53</v>
      </c>
      <c r="S19" s="24">
        <f t="shared" ca="1" si="4"/>
        <v>3002.9700000000003</v>
      </c>
      <c r="T19" s="21">
        <f ca="1">VLOOKUP($Q19,TARIFAS!$U$7:$X$18,4)%</f>
        <v>6.4000000000000001E-2</v>
      </c>
      <c r="U19" s="24">
        <f t="shared" ca="1" si="5"/>
        <v>192.19008000000002</v>
      </c>
      <c r="V19">
        <f ca="1">VLOOKUP($Q19,TARIFAS!$U$7:$X$18,3)</f>
        <v>11.11</v>
      </c>
      <c r="W19" s="3">
        <f t="shared" ca="1" si="6"/>
        <v>203.30008000000004</v>
      </c>
      <c r="X19" s="21">
        <f ca="1">VLOOKUP($Q19,TARIFAS!$U$24:$W$34,3)</f>
        <v>382.46</v>
      </c>
      <c r="Y19" s="86">
        <f t="shared" ca="1" si="0"/>
        <v>3760.6599200000001</v>
      </c>
      <c r="Z19" s="101">
        <f t="shared" si="8"/>
        <v>0</v>
      </c>
      <c r="AA19" s="2">
        <f>'IMSS MESUAL'!X21+('IMSS BIM'!O21/2)</f>
        <v>90.234999999999999</v>
      </c>
      <c r="AB19" s="2">
        <v>0</v>
      </c>
      <c r="AC19" s="2">
        <v>0</v>
      </c>
      <c r="AD19" s="23">
        <f t="shared" ca="1" si="7"/>
        <v>3670.4249199999999</v>
      </c>
    </row>
    <row r="20" spans="1:30" s="21" customFormat="1" x14ac:dyDescent="0.25">
      <c r="A20" s="117">
        <v>274</v>
      </c>
      <c r="B20" t="s">
        <v>145</v>
      </c>
      <c r="C20" s="119">
        <v>14119609775</v>
      </c>
      <c r="D20" t="s">
        <v>147</v>
      </c>
      <c r="E20" t="s">
        <v>148</v>
      </c>
      <c r="F20" s="87" t="str">
        <f>VLOOKUP($G20,TABLAS!$P$28:$R$43,3)</f>
        <v>SSF</v>
      </c>
      <c r="G20" s="102">
        <v>6</v>
      </c>
      <c r="H20" s="8">
        <v>42507</v>
      </c>
      <c r="I20">
        <v>123.5</v>
      </c>
      <c r="J20"/>
      <c r="K20"/>
      <c r="L20">
        <f ca="1">VLOOKUP($C$3,TABLAS!$A$2:$B$13,2,0)</f>
        <v>29</v>
      </c>
      <c r="M20" s="123">
        <v>0</v>
      </c>
      <c r="N20" s="123">
        <v>0</v>
      </c>
      <c r="O20" s="123">
        <v>0</v>
      </c>
      <c r="P20">
        <f t="shared" ca="1" si="2"/>
        <v>29</v>
      </c>
      <c r="Q20" s="22">
        <f t="shared" ca="1" si="3"/>
        <v>3581.5</v>
      </c>
      <c r="R20" s="21">
        <f ca="1">VLOOKUP($Q20,TARIFAS!$U$7:$X$18,1)</f>
        <v>578.53</v>
      </c>
      <c r="S20" s="24">
        <f t="shared" ca="1" si="4"/>
        <v>3002.9700000000003</v>
      </c>
      <c r="T20" s="21">
        <f ca="1">VLOOKUP($Q20,TARIFAS!$U$7:$X$18,4)%</f>
        <v>6.4000000000000001E-2</v>
      </c>
      <c r="U20" s="24">
        <f t="shared" ca="1" si="5"/>
        <v>192.19008000000002</v>
      </c>
      <c r="V20">
        <f ca="1">VLOOKUP($Q20,TARIFAS!$U$7:$X$18,3)</f>
        <v>11.11</v>
      </c>
      <c r="W20" s="3">
        <f t="shared" ca="1" si="6"/>
        <v>203.30008000000004</v>
      </c>
      <c r="X20" s="21">
        <f ca="1">VLOOKUP($Q20,TARIFAS!$U$24:$W$34,3)</f>
        <v>382.46</v>
      </c>
      <c r="Y20" s="86">
        <f t="shared" ca="1" si="0"/>
        <v>3760.6599200000001</v>
      </c>
      <c r="Z20" s="101">
        <f t="shared" si="8"/>
        <v>0</v>
      </c>
      <c r="AA20" s="2">
        <f>'IMSS MESUAL'!X22+('IMSS BIM'!O22/2)</f>
        <v>90.234999999999999</v>
      </c>
      <c r="AB20" s="2">
        <v>0</v>
      </c>
      <c r="AC20" s="2">
        <v>0</v>
      </c>
      <c r="AD20" s="23">
        <f t="shared" ca="1" si="7"/>
        <v>3670.4249199999999</v>
      </c>
    </row>
    <row r="21" spans="1:30" s="21" customFormat="1" x14ac:dyDescent="0.25">
      <c r="A21" s="117">
        <v>316</v>
      </c>
      <c r="B21" t="s">
        <v>150</v>
      </c>
      <c r="C21" s="119">
        <v>45088807156</v>
      </c>
      <c r="D21" t="s">
        <v>152</v>
      </c>
      <c r="E21" t="s">
        <v>153</v>
      </c>
      <c r="F21" s="87" t="str">
        <f>VLOOKUP($G21,TABLAS!$P$28:$R$43,3)</f>
        <v>SSF</v>
      </c>
      <c r="G21" s="103">
        <v>6</v>
      </c>
      <c r="H21" s="8">
        <v>42633</v>
      </c>
      <c r="I21">
        <v>123.5</v>
      </c>
      <c r="J21"/>
      <c r="K21"/>
      <c r="L21">
        <f ca="1">VLOOKUP($C$3,TABLAS!$A$2:$B$13,2,0)</f>
        <v>29</v>
      </c>
      <c r="M21" s="123">
        <v>0</v>
      </c>
      <c r="N21" s="123">
        <v>0</v>
      </c>
      <c r="O21" s="123">
        <v>0</v>
      </c>
      <c r="P21">
        <f t="shared" ca="1" si="2"/>
        <v>29</v>
      </c>
      <c r="Q21" s="22">
        <f t="shared" ca="1" si="3"/>
        <v>3581.5</v>
      </c>
      <c r="R21" s="21">
        <f ca="1">VLOOKUP($Q21,TARIFAS!$U$7:$X$18,1)</f>
        <v>578.53</v>
      </c>
      <c r="S21" s="24">
        <f t="shared" ca="1" si="4"/>
        <v>3002.9700000000003</v>
      </c>
      <c r="T21" s="21">
        <f ca="1">VLOOKUP($Q21,TARIFAS!$U$7:$X$18,4)%</f>
        <v>6.4000000000000001E-2</v>
      </c>
      <c r="U21" s="24">
        <f t="shared" ca="1" si="5"/>
        <v>192.19008000000002</v>
      </c>
      <c r="V21">
        <f ca="1">VLOOKUP($Q21,TARIFAS!$U$7:$X$18,3)</f>
        <v>11.11</v>
      </c>
      <c r="W21" s="3">
        <f t="shared" ca="1" si="6"/>
        <v>203.30008000000004</v>
      </c>
      <c r="X21" s="21">
        <f ca="1">VLOOKUP($Q21,TARIFAS!$U$24:$W$34,3)</f>
        <v>382.46</v>
      </c>
      <c r="Y21" s="86">
        <f t="shared" ca="1" si="0"/>
        <v>3760.6599200000001</v>
      </c>
      <c r="Z21" s="101">
        <f t="shared" si="8"/>
        <v>0</v>
      </c>
      <c r="AA21" s="2">
        <f>'IMSS MESUAL'!X23+('IMSS BIM'!O23/2)</f>
        <v>90.234999999999999</v>
      </c>
      <c r="AB21" s="2">
        <v>0</v>
      </c>
      <c r="AC21" s="2">
        <v>0</v>
      </c>
      <c r="AD21" s="23">
        <f t="shared" ca="1" si="7"/>
        <v>3670.4249199999999</v>
      </c>
    </row>
    <row r="22" spans="1:30" s="21" customFormat="1" x14ac:dyDescent="0.25">
      <c r="A22" s="117">
        <v>323</v>
      </c>
      <c r="B22" t="s">
        <v>155</v>
      </c>
      <c r="C22" s="119">
        <v>92129439367</v>
      </c>
      <c r="D22" t="s">
        <v>157</v>
      </c>
      <c r="E22" t="s">
        <v>158</v>
      </c>
      <c r="F22" s="87" t="str">
        <f>VLOOKUP($G22,TABLAS!$P$28:$R$43,3)</f>
        <v>SCCC</v>
      </c>
      <c r="G22" s="102">
        <v>16</v>
      </c>
      <c r="H22" s="8">
        <v>42637</v>
      </c>
      <c r="I22">
        <v>123.5</v>
      </c>
      <c r="J22"/>
      <c r="K22"/>
      <c r="L22">
        <f ca="1">VLOOKUP($C$3,TABLAS!$A$2:$B$13,2,0)</f>
        <v>29</v>
      </c>
      <c r="M22" s="123">
        <v>0</v>
      </c>
      <c r="N22" s="123">
        <v>0</v>
      </c>
      <c r="O22" s="123">
        <v>0</v>
      </c>
      <c r="P22">
        <f t="shared" ca="1" si="2"/>
        <v>29</v>
      </c>
      <c r="Q22" s="22">
        <f t="shared" ca="1" si="3"/>
        <v>3581.5</v>
      </c>
      <c r="R22" s="21">
        <f ca="1">VLOOKUP($Q22,TARIFAS!$U$7:$X$18,1)</f>
        <v>578.53</v>
      </c>
      <c r="S22" s="24">
        <f t="shared" ca="1" si="4"/>
        <v>3002.9700000000003</v>
      </c>
      <c r="T22" s="21">
        <f ca="1">VLOOKUP($Q22,TARIFAS!$U$7:$X$18,4)%</f>
        <v>6.4000000000000001E-2</v>
      </c>
      <c r="U22" s="24">
        <f t="shared" ca="1" si="5"/>
        <v>192.19008000000002</v>
      </c>
      <c r="V22">
        <f ca="1">VLOOKUP($Q22,TARIFAS!$U$7:$X$18,3)</f>
        <v>11.11</v>
      </c>
      <c r="W22" s="3">
        <f t="shared" ca="1" si="6"/>
        <v>203.30008000000004</v>
      </c>
      <c r="X22" s="21">
        <f ca="1">VLOOKUP($Q22,TARIFAS!$U$24:$W$34,3)</f>
        <v>382.46</v>
      </c>
      <c r="Y22" s="86">
        <f t="shared" ca="1" si="0"/>
        <v>3760.6599200000001</v>
      </c>
      <c r="Z22" s="101">
        <f t="shared" si="8"/>
        <v>0</v>
      </c>
      <c r="AA22" s="2">
        <f>'IMSS MESUAL'!X24+('IMSS BIM'!O24/2)</f>
        <v>90.234999999999999</v>
      </c>
      <c r="AB22" s="2">
        <v>0</v>
      </c>
      <c r="AC22" s="2">
        <v>0</v>
      </c>
      <c r="AD22" s="23">
        <f t="shared" ca="1" si="7"/>
        <v>3670.4249199999999</v>
      </c>
    </row>
    <row r="23" spans="1:30" s="21" customFormat="1" x14ac:dyDescent="0.25">
      <c r="A23" s="117">
        <v>358</v>
      </c>
      <c r="B23" t="s">
        <v>160</v>
      </c>
      <c r="C23" s="119">
        <v>1037903075</v>
      </c>
      <c r="D23" t="s">
        <v>162</v>
      </c>
      <c r="E23" t="s">
        <v>163</v>
      </c>
      <c r="F23" s="87" t="str">
        <f>VLOOKUP($G23,TABLAS!$P$28:$R$43,3)</f>
        <v>CAB</v>
      </c>
      <c r="G23" s="103">
        <v>13</v>
      </c>
      <c r="H23" s="8">
        <v>42828</v>
      </c>
      <c r="I23">
        <v>196.38</v>
      </c>
      <c r="J23"/>
      <c r="K23"/>
      <c r="L23">
        <f ca="1">VLOOKUP($C$3,TABLAS!$A$2:$B$13,2,0)</f>
        <v>29</v>
      </c>
      <c r="M23" s="123">
        <v>0</v>
      </c>
      <c r="N23" s="123">
        <v>0</v>
      </c>
      <c r="O23" s="123">
        <v>0</v>
      </c>
      <c r="P23">
        <f t="shared" ca="1" si="2"/>
        <v>29</v>
      </c>
      <c r="Q23" s="22">
        <f t="shared" ca="1" si="3"/>
        <v>5695.0199999999995</v>
      </c>
      <c r="R23" s="21">
        <f ca="1">VLOOKUP($Q23,TARIFAS!$U$7:$X$18,1)</f>
        <v>4910.1899999999996</v>
      </c>
      <c r="S23" s="24">
        <f t="shared" ca="1" si="4"/>
        <v>784.82999999999993</v>
      </c>
      <c r="T23" s="21">
        <f ca="1">VLOOKUP($Q23,TARIFAS!$U$7:$X$18,4)%</f>
        <v>0.10880000000000001</v>
      </c>
      <c r="U23" s="24">
        <f t="shared" ca="1" si="5"/>
        <v>85.389504000000002</v>
      </c>
      <c r="V23">
        <f ca="1">VLOOKUP($Q23,TARIFAS!$U$7:$X$18,3)</f>
        <v>288.33</v>
      </c>
      <c r="W23" s="3">
        <f t="shared" ca="1" si="6"/>
        <v>373.71950399999997</v>
      </c>
      <c r="X23" s="21">
        <f ca="1">VLOOKUP($Q23,TARIFAS!$U$24:$W$34,3)</f>
        <v>294.63</v>
      </c>
      <c r="Y23" s="86">
        <f t="shared" ca="1" si="0"/>
        <v>5615.9304959999999</v>
      </c>
      <c r="Z23" s="101">
        <f t="shared" si="8"/>
        <v>0</v>
      </c>
      <c r="AA23" s="2">
        <f>'IMSS MESUAL'!X25+('IMSS BIM'!O25/2)</f>
        <v>143.48500000000001</v>
      </c>
      <c r="AB23" s="2">
        <v>0</v>
      </c>
      <c r="AC23" s="2">
        <v>0</v>
      </c>
      <c r="AD23" s="23">
        <f t="shared" ca="1" si="7"/>
        <v>5472.4454960000003</v>
      </c>
    </row>
    <row r="24" spans="1:30" s="21" customFormat="1" x14ac:dyDescent="0.25">
      <c r="A24" s="117">
        <v>377</v>
      </c>
      <c r="B24" t="s">
        <v>165</v>
      </c>
      <c r="C24" s="119">
        <v>39119518528</v>
      </c>
      <c r="D24" t="s">
        <v>167</v>
      </c>
      <c r="E24" t="s">
        <v>168</v>
      </c>
      <c r="F24" s="87" t="str">
        <f>VLOOKUP($G24,TABLAS!$P$28:$R$43,3)</f>
        <v>SPD</v>
      </c>
      <c r="G24" s="102">
        <v>2</v>
      </c>
      <c r="H24" s="8">
        <v>42887</v>
      </c>
      <c r="I24">
        <v>123.5</v>
      </c>
      <c r="J24"/>
      <c r="K24"/>
      <c r="L24">
        <f ca="1">VLOOKUP($C$3,TABLAS!$A$2:$B$13,2,0)</f>
        <v>29</v>
      </c>
      <c r="M24" s="123">
        <v>0</v>
      </c>
      <c r="N24" s="123">
        <v>0</v>
      </c>
      <c r="O24" s="123">
        <v>0</v>
      </c>
      <c r="P24">
        <f t="shared" ca="1" si="2"/>
        <v>29</v>
      </c>
      <c r="Q24" s="22">
        <f t="shared" ca="1" si="3"/>
        <v>3581.5</v>
      </c>
      <c r="R24" s="21">
        <f ca="1">VLOOKUP($Q24,TARIFAS!$U$7:$X$18,1)</f>
        <v>578.53</v>
      </c>
      <c r="S24" s="24">
        <f t="shared" ca="1" si="4"/>
        <v>3002.9700000000003</v>
      </c>
      <c r="T24" s="21">
        <f ca="1">VLOOKUP($Q24,TARIFAS!$U$7:$X$18,4)%</f>
        <v>6.4000000000000001E-2</v>
      </c>
      <c r="U24" s="24">
        <f t="shared" ca="1" si="5"/>
        <v>192.19008000000002</v>
      </c>
      <c r="V24">
        <f ca="1">VLOOKUP($Q24,TARIFAS!$U$7:$X$18,3)</f>
        <v>11.11</v>
      </c>
      <c r="W24" s="3">
        <f t="shared" ca="1" si="6"/>
        <v>203.30008000000004</v>
      </c>
      <c r="X24" s="21">
        <f ca="1">VLOOKUP($Q24,TARIFAS!$U$24:$W$34,3)</f>
        <v>382.46</v>
      </c>
      <c r="Y24" s="86">
        <f t="shared" ca="1" si="0"/>
        <v>3760.6599200000001</v>
      </c>
      <c r="Z24" s="101">
        <f t="shared" si="8"/>
        <v>0</v>
      </c>
      <c r="AA24" s="2">
        <f>'IMSS MESUAL'!X26+('IMSS BIM'!O26/2)</f>
        <v>90.234999999999999</v>
      </c>
      <c r="AB24" s="2">
        <v>0</v>
      </c>
      <c r="AC24" s="2">
        <v>0</v>
      </c>
      <c r="AD24" s="23">
        <f t="shared" ca="1" si="7"/>
        <v>3670.4249199999999</v>
      </c>
    </row>
    <row r="25" spans="1:30" s="21" customFormat="1" x14ac:dyDescent="0.25">
      <c r="A25" s="117">
        <v>382</v>
      </c>
      <c r="B25" t="s">
        <v>170</v>
      </c>
      <c r="C25" s="119">
        <v>3179088640</v>
      </c>
      <c r="D25" t="s">
        <v>172</v>
      </c>
      <c r="E25" t="s">
        <v>173</v>
      </c>
      <c r="F25" s="87" t="str">
        <f>VLOOKUP($G25,TABLAS!$P$28:$R$43,3)</f>
        <v>SSJ</v>
      </c>
      <c r="G25" s="103">
        <v>1</v>
      </c>
      <c r="H25" s="8">
        <v>42889</v>
      </c>
      <c r="I25">
        <v>123.5</v>
      </c>
      <c r="J25"/>
      <c r="K25"/>
      <c r="L25">
        <f ca="1">VLOOKUP($C$3,TABLAS!$A$2:$B$13,2,0)</f>
        <v>29</v>
      </c>
      <c r="M25" s="123">
        <v>0</v>
      </c>
      <c r="N25" s="123">
        <v>0</v>
      </c>
      <c r="O25" s="123">
        <v>0</v>
      </c>
      <c r="P25">
        <f t="shared" ca="1" si="2"/>
        <v>29</v>
      </c>
      <c r="Q25" s="22">
        <f t="shared" ca="1" si="3"/>
        <v>3581.5</v>
      </c>
      <c r="R25" s="21">
        <f ca="1">VLOOKUP($Q25,TARIFAS!$U$7:$X$18,1)</f>
        <v>578.53</v>
      </c>
      <c r="S25" s="24">
        <f t="shared" ca="1" si="4"/>
        <v>3002.9700000000003</v>
      </c>
      <c r="T25" s="21">
        <f ca="1">VLOOKUP($Q25,TARIFAS!$U$7:$X$18,4)%</f>
        <v>6.4000000000000001E-2</v>
      </c>
      <c r="U25" s="24">
        <f t="shared" ca="1" si="5"/>
        <v>192.19008000000002</v>
      </c>
      <c r="V25">
        <f ca="1">VLOOKUP($Q25,TARIFAS!$U$7:$X$18,3)</f>
        <v>11.11</v>
      </c>
      <c r="W25" s="3">
        <f t="shared" ca="1" si="6"/>
        <v>203.30008000000004</v>
      </c>
      <c r="X25" s="21">
        <f ca="1">VLOOKUP($Q25,TARIFAS!$U$24:$W$34,3)</f>
        <v>382.46</v>
      </c>
      <c r="Y25" s="86">
        <f t="shared" ca="1" si="0"/>
        <v>3760.6599200000001</v>
      </c>
      <c r="Z25" s="101">
        <f t="shared" si="8"/>
        <v>0</v>
      </c>
      <c r="AA25" s="2">
        <f>'IMSS MESUAL'!X27+('IMSS BIM'!O27/2)</f>
        <v>90.234999999999999</v>
      </c>
      <c r="AB25" s="2">
        <v>0</v>
      </c>
      <c r="AC25" s="2">
        <v>0</v>
      </c>
      <c r="AD25" s="23">
        <f t="shared" ca="1" si="7"/>
        <v>3670.4249199999999</v>
      </c>
    </row>
    <row r="26" spans="1:30" s="21" customFormat="1" x14ac:dyDescent="0.25">
      <c r="A26" s="117">
        <v>398</v>
      </c>
      <c r="B26" t="s">
        <v>175</v>
      </c>
      <c r="C26" s="119">
        <v>45159813687</v>
      </c>
      <c r="D26" t="s">
        <v>177</v>
      </c>
      <c r="E26" t="s">
        <v>178</v>
      </c>
      <c r="F26" s="87" t="str">
        <f>VLOOKUP($G26,TABLAS!$P$28:$R$43,3)</f>
        <v>SPC</v>
      </c>
      <c r="G26" s="102">
        <v>4</v>
      </c>
      <c r="H26" s="8">
        <v>42934</v>
      </c>
      <c r="I26">
        <v>123.5</v>
      </c>
      <c r="J26"/>
      <c r="K26"/>
      <c r="L26">
        <f ca="1">VLOOKUP($C$3,TABLAS!$A$2:$B$13,2,0)</f>
        <v>29</v>
      </c>
      <c r="M26" s="123">
        <v>0</v>
      </c>
      <c r="N26" s="123">
        <v>0</v>
      </c>
      <c r="O26" s="123">
        <v>0</v>
      </c>
      <c r="P26">
        <f t="shared" ca="1" si="2"/>
        <v>29</v>
      </c>
      <c r="Q26" s="22">
        <f t="shared" ca="1" si="3"/>
        <v>3581.5</v>
      </c>
      <c r="R26" s="21">
        <f ca="1">VLOOKUP($Q26,TARIFAS!$U$7:$X$18,1)</f>
        <v>578.53</v>
      </c>
      <c r="S26" s="24">
        <f t="shared" ca="1" si="4"/>
        <v>3002.9700000000003</v>
      </c>
      <c r="T26" s="21">
        <f ca="1">VLOOKUP($Q26,TARIFAS!$U$7:$X$18,4)%</f>
        <v>6.4000000000000001E-2</v>
      </c>
      <c r="U26" s="24">
        <f t="shared" ca="1" si="5"/>
        <v>192.19008000000002</v>
      </c>
      <c r="V26">
        <f ca="1">VLOOKUP($Q26,TARIFAS!$U$7:$X$18,3)</f>
        <v>11.11</v>
      </c>
      <c r="W26" s="3">
        <f t="shared" ca="1" si="6"/>
        <v>203.30008000000004</v>
      </c>
      <c r="X26" s="21">
        <f ca="1">VLOOKUP($Q26,TARIFAS!$U$24:$W$34,3)</f>
        <v>382.46</v>
      </c>
      <c r="Y26" s="86">
        <f t="shared" ca="1" si="0"/>
        <v>3760.6599200000001</v>
      </c>
      <c r="Z26" s="101">
        <f t="shared" si="8"/>
        <v>0</v>
      </c>
      <c r="AA26" s="2">
        <f>'IMSS MESUAL'!X28+('IMSS BIM'!O28/2)</f>
        <v>90.234999999999999</v>
      </c>
      <c r="AB26" s="2">
        <v>0</v>
      </c>
      <c r="AC26" s="2">
        <v>0</v>
      </c>
      <c r="AD26" s="23">
        <f t="shared" ca="1" si="7"/>
        <v>3670.4249199999999</v>
      </c>
    </row>
    <row r="27" spans="1:30" s="21" customFormat="1" x14ac:dyDescent="0.25">
      <c r="A27" s="117">
        <v>400</v>
      </c>
      <c r="B27" t="s">
        <v>180</v>
      </c>
      <c r="C27" s="119">
        <v>39139718595</v>
      </c>
      <c r="D27" t="s">
        <v>182</v>
      </c>
      <c r="E27" t="s">
        <v>183</v>
      </c>
      <c r="F27" s="87" t="str">
        <f>VLOOKUP($G27,TABLAS!$P$28:$R$43,3)</f>
        <v>SPC</v>
      </c>
      <c r="G27" s="103">
        <v>4</v>
      </c>
      <c r="H27" s="8">
        <v>42935</v>
      </c>
      <c r="I27">
        <v>123.5</v>
      </c>
      <c r="J27"/>
      <c r="K27"/>
      <c r="L27">
        <f ca="1">VLOOKUP($C$3,TABLAS!$A$2:$B$13,2,0)</f>
        <v>29</v>
      </c>
      <c r="M27" s="123">
        <v>0</v>
      </c>
      <c r="N27" s="123">
        <v>0</v>
      </c>
      <c r="O27" s="123">
        <v>0</v>
      </c>
      <c r="P27">
        <f t="shared" ca="1" si="2"/>
        <v>29</v>
      </c>
      <c r="Q27" s="22">
        <f t="shared" ca="1" si="3"/>
        <v>3581.5</v>
      </c>
      <c r="R27" s="21">
        <f ca="1">VLOOKUP($Q27,TARIFAS!$U$7:$X$18,1)</f>
        <v>578.53</v>
      </c>
      <c r="S27" s="24">
        <f t="shared" ca="1" si="4"/>
        <v>3002.9700000000003</v>
      </c>
      <c r="T27" s="21">
        <f ca="1">VLOOKUP($Q27,TARIFAS!$U$7:$X$18,4)%</f>
        <v>6.4000000000000001E-2</v>
      </c>
      <c r="U27" s="24">
        <f t="shared" ca="1" si="5"/>
        <v>192.19008000000002</v>
      </c>
      <c r="V27">
        <f ca="1">VLOOKUP($Q27,TARIFAS!$U$7:$X$18,3)</f>
        <v>11.11</v>
      </c>
      <c r="W27" s="3">
        <f t="shared" ca="1" si="6"/>
        <v>203.30008000000004</v>
      </c>
      <c r="X27" s="21">
        <f ca="1">VLOOKUP($Q27,TARIFAS!$U$24:$W$34,3)</f>
        <v>382.46</v>
      </c>
      <c r="Y27" s="86">
        <f t="shared" ca="1" si="0"/>
        <v>3760.6599200000001</v>
      </c>
      <c r="Z27" s="101">
        <f t="shared" si="8"/>
        <v>0</v>
      </c>
      <c r="AA27" s="2">
        <f>'IMSS MESUAL'!X29+('IMSS BIM'!O29/2)</f>
        <v>90.234999999999999</v>
      </c>
      <c r="AB27" s="2">
        <v>0</v>
      </c>
      <c r="AC27" s="2">
        <v>0</v>
      </c>
      <c r="AD27" s="23">
        <f t="shared" ca="1" si="7"/>
        <v>3670.4249199999999</v>
      </c>
    </row>
    <row r="28" spans="1:30" s="21" customFormat="1" x14ac:dyDescent="0.25">
      <c r="A28" s="117">
        <v>403</v>
      </c>
      <c r="B28" t="s">
        <v>185</v>
      </c>
      <c r="C28" s="119">
        <v>39129005318</v>
      </c>
      <c r="D28" t="s">
        <v>187</v>
      </c>
      <c r="E28" t="s">
        <v>188</v>
      </c>
      <c r="F28" s="87" t="str">
        <f>VLOOKUP($G28,TABLAS!$P$28:$R$43,3)</f>
        <v>SMH</v>
      </c>
      <c r="G28" s="102">
        <v>7</v>
      </c>
      <c r="H28" s="8">
        <v>42940</v>
      </c>
      <c r="I28">
        <v>123.5</v>
      </c>
      <c r="J28"/>
      <c r="K28"/>
      <c r="L28">
        <f ca="1">VLOOKUP($C$3,TABLAS!$A$2:$B$13,2,0)</f>
        <v>29</v>
      </c>
      <c r="M28" s="123">
        <v>0</v>
      </c>
      <c r="N28" s="123">
        <v>0</v>
      </c>
      <c r="O28" s="123">
        <v>0</v>
      </c>
      <c r="P28">
        <f t="shared" ca="1" si="2"/>
        <v>29</v>
      </c>
      <c r="Q28" s="22">
        <f t="shared" ca="1" si="3"/>
        <v>3581.5</v>
      </c>
      <c r="R28" s="21">
        <f ca="1">VLOOKUP($Q28,TARIFAS!$U$7:$X$18,1)</f>
        <v>578.53</v>
      </c>
      <c r="S28" s="24">
        <f t="shared" ca="1" si="4"/>
        <v>3002.9700000000003</v>
      </c>
      <c r="T28" s="21">
        <f ca="1">VLOOKUP($Q28,TARIFAS!$U$7:$X$18,4)%</f>
        <v>6.4000000000000001E-2</v>
      </c>
      <c r="U28" s="24">
        <f t="shared" ca="1" si="5"/>
        <v>192.19008000000002</v>
      </c>
      <c r="V28">
        <f ca="1">VLOOKUP($Q28,TARIFAS!$U$7:$X$18,3)</f>
        <v>11.11</v>
      </c>
      <c r="W28" s="3">
        <f t="shared" ca="1" si="6"/>
        <v>203.30008000000004</v>
      </c>
      <c r="X28" s="21">
        <f ca="1">VLOOKUP($Q28,TARIFAS!$U$24:$W$34,3)</f>
        <v>382.46</v>
      </c>
      <c r="Y28" s="86">
        <f t="shared" ca="1" si="0"/>
        <v>3760.6599200000001</v>
      </c>
      <c r="Z28" s="101">
        <f t="shared" si="8"/>
        <v>0</v>
      </c>
      <c r="AA28" s="2">
        <f>'IMSS MESUAL'!X30+('IMSS BIM'!O30/2)</f>
        <v>90.234999999999999</v>
      </c>
      <c r="AB28" s="2">
        <v>0</v>
      </c>
      <c r="AC28" s="2">
        <v>0</v>
      </c>
      <c r="AD28" s="23">
        <f t="shared" ca="1" si="7"/>
        <v>3670.4249199999999</v>
      </c>
    </row>
    <row r="29" spans="1:30" s="21" customFormat="1" x14ac:dyDescent="0.25">
      <c r="A29" s="117">
        <v>423</v>
      </c>
      <c r="B29" t="s">
        <v>190</v>
      </c>
      <c r="C29" s="119">
        <v>39149935999</v>
      </c>
      <c r="D29" t="s">
        <v>192</v>
      </c>
      <c r="E29" t="s">
        <v>193</v>
      </c>
      <c r="F29" s="87" t="str">
        <f>VLOOKUP($G29,TABLAS!$P$28:$R$43,3)</f>
        <v>SSJ</v>
      </c>
      <c r="G29" s="103">
        <v>1</v>
      </c>
      <c r="H29" s="8">
        <v>42979</v>
      </c>
      <c r="I29">
        <v>123.5</v>
      </c>
      <c r="J29"/>
      <c r="K29"/>
      <c r="L29">
        <f ca="1">VLOOKUP($C$3,TABLAS!$A$2:$B$13,2,0)</f>
        <v>29</v>
      </c>
      <c r="M29" s="123">
        <v>0</v>
      </c>
      <c r="N29" s="123">
        <v>0</v>
      </c>
      <c r="O29" s="123">
        <v>0</v>
      </c>
      <c r="P29">
        <f t="shared" ca="1" si="2"/>
        <v>29</v>
      </c>
      <c r="Q29" s="22">
        <f t="shared" ca="1" si="3"/>
        <v>3581.5</v>
      </c>
      <c r="R29" s="21">
        <f ca="1">VLOOKUP($Q29,TARIFAS!$U$7:$X$18,1)</f>
        <v>578.53</v>
      </c>
      <c r="S29" s="24">
        <f t="shared" ca="1" si="4"/>
        <v>3002.9700000000003</v>
      </c>
      <c r="T29" s="21">
        <f ca="1">VLOOKUP($Q29,TARIFAS!$U$7:$X$18,4)%</f>
        <v>6.4000000000000001E-2</v>
      </c>
      <c r="U29" s="24">
        <f t="shared" ca="1" si="5"/>
        <v>192.19008000000002</v>
      </c>
      <c r="V29">
        <f ca="1">VLOOKUP($Q29,TARIFAS!$U$7:$X$18,3)</f>
        <v>11.11</v>
      </c>
      <c r="W29" s="3">
        <f t="shared" ca="1" si="6"/>
        <v>203.30008000000004</v>
      </c>
      <c r="X29" s="21">
        <f ca="1">VLOOKUP($Q29,TARIFAS!$U$24:$W$34,3)</f>
        <v>382.46</v>
      </c>
      <c r="Y29" s="86">
        <f t="shared" ca="1" si="0"/>
        <v>3760.6599200000001</v>
      </c>
      <c r="Z29" s="101">
        <f t="shared" si="8"/>
        <v>0</v>
      </c>
      <c r="AA29" s="2">
        <f>'IMSS MESUAL'!X31+('IMSS BIM'!O31/2)</f>
        <v>90.234999999999999</v>
      </c>
      <c r="AB29" s="2">
        <v>0</v>
      </c>
      <c r="AC29" s="2">
        <v>0</v>
      </c>
      <c r="AD29" s="23">
        <f t="shared" ca="1" si="7"/>
        <v>3670.4249199999999</v>
      </c>
    </row>
    <row r="30" spans="1:30" s="21" customFormat="1" x14ac:dyDescent="0.25">
      <c r="A30" s="117">
        <v>425</v>
      </c>
      <c r="B30" t="s">
        <v>195</v>
      </c>
      <c r="C30" s="119">
        <v>45109513908</v>
      </c>
      <c r="D30" t="s">
        <v>197</v>
      </c>
      <c r="E30" t="s">
        <v>198</v>
      </c>
      <c r="F30" s="87" t="str">
        <f>VLOOKUP($G30,TABLAS!$P$28:$R$43,3)</f>
        <v>SSF</v>
      </c>
      <c r="G30" s="102">
        <v>6</v>
      </c>
      <c r="H30" s="8">
        <v>42986</v>
      </c>
      <c r="I30">
        <v>123.5</v>
      </c>
      <c r="J30"/>
      <c r="K30"/>
      <c r="L30">
        <f ca="1">VLOOKUP($C$3,TABLAS!$A$2:$B$13,2,0)</f>
        <v>29</v>
      </c>
      <c r="M30" s="123">
        <v>0</v>
      </c>
      <c r="N30" s="123">
        <v>0</v>
      </c>
      <c r="O30" s="123">
        <v>0</v>
      </c>
      <c r="P30">
        <f t="shared" ca="1" si="2"/>
        <v>29</v>
      </c>
      <c r="Q30" s="22">
        <f t="shared" ca="1" si="3"/>
        <v>3581.5</v>
      </c>
      <c r="R30" s="21">
        <f ca="1">VLOOKUP($Q30,TARIFAS!$U$7:$X$18,1)</f>
        <v>578.53</v>
      </c>
      <c r="S30" s="24">
        <f t="shared" ca="1" si="4"/>
        <v>3002.9700000000003</v>
      </c>
      <c r="T30" s="21">
        <f ca="1">VLOOKUP($Q30,TARIFAS!$U$7:$X$18,4)%</f>
        <v>6.4000000000000001E-2</v>
      </c>
      <c r="U30" s="24">
        <f t="shared" ca="1" si="5"/>
        <v>192.19008000000002</v>
      </c>
      <c r="V30">
        <f ca="1">VLOOKUP($Q30,TARIFAS!$U$7:$X$18,3)</f>
        <v>11.11</v>
      </c>
      <c r="W30" s="3">
        <f t="shared" ca="1" si="6"/>
        <v>203.30008000000004</v>
      </c>
      <c r="X30" s="21">
        <f ca="1">VLOOKUP($Q30,TARIFAS!$U$24:$W$34,3)</f>
        <v>382.46</v>
      </c>
      <c r="Y30" s="86">
        <f t="shared" ca="1" si="0"/>
        <v>3760.6599200000001</v>
      </c>
      <c r="Z30" s="101">
        <f t="shared" si="8"/>
        <v>0</v>
      </c>
      <c r="AA30" s="2">
        <f>'IMSS MESUAL'!X32+('IMSS BIM'!O32/2)</f>
        <v>90.234999999999999</v>
      </c>
      <c r="AB30" s="2">
        <v>0</v>
      </c>
      <c r="AC30" s="2">
        <v>0</v>
      </c>
      <c r="AD30" s="23">
        <f t="shared" ca="1" si="7"/>
        <v>3670.4249199999999</v>
      </c>
    </row>
    <row r="31" spans="1:30" s="21" customFormat="1" x14ac:dyDescent="0.25">
      <c r="A31" s="117">
        <v>426</v>
      </c>
      <c r="B31" t="s">
        <v>200</v>
      </c>
      <c r="C31" s="119">
        <v>20917243774</v>
      </c>
      <c r="D31" t="s">
        <v>202</v>
      </c>
      <c r="E31" t="s">
        <v>203</v>
      </c>
      <c r="F31" s="87" t="str">
        <f>VLOOKUP($G31,TABLAS!$P$28:$R$43,3)</f>
        <v>SPC</v>
      </c>
      <c r="G31" s="103">
        <v>4</v>
      </c>
      <c r="H31" s="8">
        <v>42987</v>
      </c>
      <c r="I31">
        <v>123.5</v>
      </c>
      <c r="J31"/>
      <c r="K31"/>
      <c r="L31">
        <f ca="1">VLOOKUP($C$3,TABLAS!$A$2:$B$13,2,0)</f>
        <v>29</v>
      </c>
      <c r="M31" s="123">
        <v>0</v>
      </c>
      <c r="N31" s="123">
        <v>0</v>
      </c>
      <c r="O31" s="123">
        <v>0</v>
      </c>
      <c r="P31">
        <f t="shared" ca="1" si="2"/>
        <v>29</v>
      </c>
      <c r="Q31" s="22">
        <f t="shared" ca="1" si="3"/>
        <v>3581.5</v>
      </c>
      <c r="R31" s="21">
        <f ca="1">VLOOKUP($Q31,TARIFAS!$U$7:$X$18,1)</f>
        <v>578.53</v>
      </c>
      <c r="S31" s="24">
        <f t="shared" ca="1" si="4"/>
        <v>3002.9700000000003</v>
      </c>
      <c r="T31" s="21">
        <f ca="1">VLOOKUP($Q31,TARIFAS!$U$7:$X$18,4)%</f>
        <v>6.4000000000000001E-2</v>
      </c>
      <c r="U31" s="24">
        <f t="shared" ca="1" si="5"/>
        <v>192.19008000000002</v>
      </c>
      <c r="V31">
        <f ca="1">VLOOKUP($Q31,TARIFAS!$U$7:$X$18,3)</f>
        <v>11.11</v>
      </c>
      <c r="W31" s="3">
        <f t="shared" ca="1" si="6"/>
        <v>203.30008000000004</v>
      </c>
      <c r="X31" s="21">
        <f ca="1">VLOOKUP($Q31,TARIFAS!$U$24:$W$34,3)</f>
        <v>382.46</v>
      </c>
      <c r="Y31" s="86">
        <f t="shared" ca="1" si="0"/>
        <v>3760.6599200000001</v>
      </c>
      <c r="Z31" s="101">
        <f t="shared" si="8"/>
        <v>0</v>
      </c>
      <c r="AA31" s="2">
        <f>'IMSS MESUAL'!X33+('IMSS BIM'!O33/2)</f>
        <v>90.234999999999999</v>
      </c>
      <c r="AB31" s="2">
        <v>0</v>
      </c>
      <c r="AC31" s="2">
        <v>0</v>
      </c>
      <c r="AD31" s="23">
        <f t="shared" ca="1" si="7"/>
        <v>3670.4249199999999</v>
      </c>
    </row>
    <row r="32" spans="1:30" x14ac:dyDescent="0.25">
      <c r="A32">
        <v>440</v>
      </c>
      <c r="B32" t="s">
        <v>205</v>
      </c>
      <c r="C32" s="119">
        <v>25149337872</v>
      </c>
      <c r="D32" t="s">
        <v>207</v>
      </c>
      <c r="E32" t="s">
        <v>208</v>
      </c>
      <c r="F32" s="87" t="str">
        <f>VLOOKUP($G32,TABLAS!$P$28:$R$43,3)</f>
        <v>SSF</v>
      </c>
      <c r="G32" s="102">
        <v>6</v>
      </c>
      <c r="H32" s="58">
        <v>43042</v>
      </c>
      <c r="I32">
        <v>123.5</v>
      </c>
      <c r="L32">
        <f ca="1">VLOOKUP($C$3,TABLAS!$A$2:$B$13,2,0)</f>
        <v>29</v>
      </c>
      <c r="M32" s="123">
        <v>0</v>
      </c>
      <c r="N32" s="123">
        <v>0</v>
      </c>
      <c r="O32" s="123">
        <v>0</v>
      </c>
      <c r="P32">
        <f t="shared" ca="1" si="2"/>
        <v>29</v>
      </c>
      <c r="Q32" s="22">
        <f t="shared" ca="1" si="3"/>
        <v>3581.5</v>
      </c>
      <c r="R32" s="21">
        <f ca="1">VLOOKUP($Q32,TARIFAS!$U$7:$X$18,1)</f>
        <v>578.53</v>
      </c>
      <c r="S32" s="24">
        <f t="shared" ca="1" si="4"/>
        <v>3002.9700000000003</v>
      </c>
      <c r="T32" s="21">
        <f ca="1">VLOOKUP($Q32,TARIFAS!$U$7:$X$18,4)%</f>
        <v>6.4000000000000001E-2</v>
      </c>
      <c r="U32" s="24">
        <f t="shared" ca="1" si="5"/>
        <v>192.19008000000002</v>
      </c>
      <c r="V32">
        <f ca="1">VLOOKUP($Q32,TARIFAS!$U$7:$X$18,3)</f>
        <v>11.11</v>
      </c>
      <c r="W32" s="3">
        <f t="shared" ca="1" si="6"/>
        <v>203.30008000000004</v>
      </c>
      <c r="X32" s="21">
        <f ca="1">VLOOKUP($Q32,TARIFAS!$U$24:$W$34,3)</f>
        <v>382.46</v>
      </c>
      <c r="Y32" s="86">
        <f t="shared" ca="1" si="0"/>
        <v>3760.6599200000001</v>
      </c>
      <c r="Z32" s="101">
        <f t="shared" si="8"/>
        <v>0</v>
      </c>
      <c r="AA32" s="2">
        <f>'IMSS MESUAL'!X34+('IMSS BIM'!O34/2)</f>
        <v>90.234999999999999</v>
      </c>
      <c r="AB32" s="2">
        <v>0</v>
      </c>
      <c r="AC32" s="2">
        <v>0</v>
      </c>
      <c r="AD32" s="23">
        <f t="shared" ca="1" si="7"/>
        <v>3670.4249199999999</v>
      </c>
    </row>
    <row r="33" spans="1:32" x14ac:dyDescent="0.25">
      <c r="A33">
        <v>441</v>
      </c>
      <c r="B33" t="s">
        <v>210</v>
      </c>
      <c r="C33" s="119">
        <v>45149958212</v>
      </c>
      <c r="D33" t="s">
        <v>212</v>
      </c>
      <c r="E33" t="s">
        <v>213</v>
      </c>
      <c r="F33" s="87" t="str">
        <f>VLOOKUP($G33,TABLAS!$P$28:$R$43,3)</f>
        <v>SPD</v>
      </c>
      <c r="G33" s="103">
        <v>2</v>
      </c>
      <c r="H33" s="8">
        <v>43042</v>
      </c>
      <c r="I33">
        <v>123.5</v>
      </c>
      <c r="L33">
        <f ca="1">VLOOKUP($C$3,TABLAS!$A$2:$B$13,2,0)</f>
        <v>29</v>
      </c>
      <c r="M33" s="123">
        <v>0</v>
      </c>
      <c r="N33" s="123">
        <v>0</v>
      </c>
      <c r="O33" s="123">
        <v>0</v>
      </c>
      <c r="P33">
        <f t="shared" ca="1" si="2"/>
        <v>29</v>
      </c>
      <c r="Q33" s="22">
        <f t="shared" ca="1" si="3"/>
        <v>3581.5</v>
      </c>
      <c r="R33" s="21">
        <f ca="1">VLOOKUP($Q33,TARIFAS!$U$7:$X$18,1)</f>
        <v>578.53</v>
      </c>
      <c r="S33" s="24">
        <f t="shared" ca="1" si="4"/>
        <v>3002.9700000000003</v>
      </c>
      <c r="T33" s="21">
        <f ca="1">VLOOKUP($Q33,TARIFAS!$U$7:$X$18,4)%</f>
        <v>6.4000000000000001E-2</v>
      </c>
      <c r="U33" s="24">
        <f t="shared" ca="1" si="5"/>
        <v>192.19008000000002</v>
      </c>
      <c r="V33">
        <f ca="1">VLOOKUP($Q33,TARIFAS!$U$7:$X$18,3)</f>
        <v>11.11</v>
      </c>
      <c r="W33" s="3">
        <f t="shared" ca="1" si="6"/>
        <v>203.30008000000004</v>
      </c>
      <c r="X33" s="21">
        <f ca="1">VLOOKUP($Q33,TARIFAS!$U$24:$W$34,3)</f>
        <v>382.46</v>
      </c>
      <c r="Y33" s="86">
        <f t="shared" ca="1" si="0"/>
        <v>3760.6599200000001</v>
      </c>
      <c r="Z33" s="101">
        <f t="shared" si="8"/>
        <v>0</v>
      </c>
      <c r="AA33" s="2">
        <f>'IMSS MESUAL'!X35+('IMSS BIM'!O35/2)</f>
        <v>90.234999999999999</v>
      </c>
      <c r="AB33" s="2">
        <v>0</v>
      </c>
      <c r="AC33" s="2">
        <v>0</v>
      </c>
      <c r="AD33" s="23">
        <f t="shared" ca="1" si="7"/>
        <v>3670.4249199999999</v>
      </c>
    </row>
    <row r="34" spans="1:32" x14ac:dyDescent="0.25">
      <c r="A34">
        <v>464</v>
      </c>
      <c r="B34" t="s">
        <v>215</v>
      </c>
      <c r="C34" s="119">
        <v>45139314913</v>
      </c>
      <c r="D34" t="s">
        <v>217</v>
      </c>
      <c r="E34" t="s">
        <v>218</v>
      </c>
      <c r="F34" s="87" t="str">
        <f>VLOOKUP($G34,TABLAS!$P$28:$R$43,3)</f>
        <v>SSF</v>
      </c>
      <c r="G34" s="102">
        <v>6</v>
      </c>
      <c r="H34" s="8">
        <v>43119</v>
      </c>
      <c r="I34">
        <v>123.5</v>
      </c>
      <c r="L34">
        <f ca="1">VLOOKUP($C$3,TABLAS!$A$2:$B$13,2,0)</f>
        <v>29</v>
      </c>
      <c r="M34" s="123">
        <v>0</v>
      </c>
      <c r="N34" s="123">
        <v>0</v>
      </c>
      <c r="O34" s="123">
        <v>0</v>
      </c>
      <c r="P34">
        <f t="shared" ca="1" si="2"/>
        <v>29</v>
      </c>
      <c r="Q34" s="22">
        <f t="shared" ca="1" si="3"/>
        <v>3581.5</v>
      </c>
      <c r="R34" s="21">
        <f ca="1">VLOOKUP($Q34,TARIFAS!$U$7:$X$18,1)</f>
        <v>578.53</v>
      </c>
      <c r="S34" s="24">
        <f t="shared" ca="1" si="4"/>
        <v>3002.9700000000003</v>
      </c>
      <c r="T34" s="21">
        <f ca="1">VLOOKUP($Q34,TARIFAS!$U$7:$X$18,4)%</f>
        <v>6.4000000000000001E-2</v>
      </c>
      <c r="U34" s="24">
        <f t="shared" ca="1" si="5"/>
        <v>192.19008000000002</v>
      </c>
      <c r="V34">
        <f ca="1">VLOOKUP($Q34,TARIFAS!$U$7:$X$18,3)</f>
        <v>11.11</v>
      </c>
      <c r="W34" s="3">
        <f t="shared" ca="1" si="6"/>
        <v>203.30008000000004</v>
      </c>
      <c r="X34" s="21">
        <f ca="1">VLOOKUP($Q34,TARIFAS!$U$24:$W$34,3)</f>
        <v>382.46</v>
      </c>
      <c r="Y34" s="86">
        <f t="shared" ca="1" si="0"/>
        <v>3760.6599200000001</v>
      </c>
      <c r="Z34" s="101">
        <f t="shared" si="8"/>
        <v>0</v>
      </c>
      <c r="AA34" s="2">
        <f>'IMSS MESUAL'!X36+('IMSS BIM'!O36/2)</f>
        <v>90.234999999999999</v>
      </c>
      <c r="AB34" s="2">
        <v>0</v>
      </c>
      <c r="AC34" s="2">
        <v>0</v>
      </c>
      <c r="AD34" s="23">
        <f t="shared" ca="1" si="7"/>
        <v>3670.4249199999999</v>
      </c>
    </row>
    <row r="35" spans="1:32" x14ac:dyDescent="0.25">
      <c r="A35">
        <v>481</v>
      </c>
      <c r="B35" t="s">
        <v>220</v>
      </c>
      <c r="C35" s="119">
        <v>45139745496</v>
      </c>
      <c r="D35" t="s">
        <v>222</v>
      </c>
      <c r="E35" t="s">
        <v>223</v>
      </c>
      <c r="F35" s="87" t="str">
        <f>VLOOKUP($G35,TABLAS!$P$28:$R$43,3)</f>
        <v>SSF</v>
      </c>
      <c r="G35" s="103">
        <v>6</v>
      </c>
      <c r="H35" s="8">
        <v>43164</v>
      </c>
      <c r="I35">
        <v>123.5</v>
      </c>
      <c r="L35">
        <f ca="1">VLOOKUP($C$3,TABLAS!$A$2:$B$13,2,0)</f>
        <v>29</v>
      </c>
      <c r="M35" s="123">
        <v>0</v>
      </c>
      <c r="N35" s="123">
        <v>0</v>
      </c>
      <c r="O35" s="123">
        <v>0</v>
      </c>
      <c r="P35">
        <f t="shared" ca="1" si="2"/>
        <v>29</v>
      </c>
      <c r="Q35" s="22">
        <f t="shared" ca="1" si="3"/>
        <v>3581.5</v>
      </c>
      <c r="R35" s="21">
        <f ca="1">VLOOKUP($Q35,TARIFAS!$U$7:$X$18,1)</f>
        <v>578.53</v>
      </c>
      <c r="S35" s="24">
        <f t="shared" ca="1" si="4"/>
        <v>3002.9700000000003</v>
      </c>
      <c r="T35" s="21">
        <f ca="1">VLOOKUP($Q35,TARIFAS!$U$7:$X$18,4)%</f>
        <v>6.4000000000000001E-2</v>
      </c>
      <c r="U35" s="24">
        <f t="shared" ca="1" si="5"/>
        <v>192.19008000000002</v>
      </c>
      <c r="V35">
        <f ca="1">VLOOKUP($Q35,TARIFAS!$U$7:$X$18,3)</f>
        <v>11.11</v>
      </c>
      <c r="W35" s="3">
        <f t="shared" ca="1" si="6"/>
        <v>203.30008000000004</v>
      </c>
      <c r="X35" s="21">
        <f ca="1">VLOOKUP($Q35,TARIFAS!$U$24:$W$34,3)</f>
        <v>382.46</v>
      </c>
      <c r="Y35" s="86">
        <f t="shared" ca="1" si="0"/>
        <v>3760.6599200000001</v>
      </c>
      <c r="Z35" s="101">
        <f t="shared" si="8"/>
        <v>0</v>
      </c>
      <c r="AA35" s="2">
        <f>'IMSS MESUAL'!X37+('IMSS BIM'!O37/2)</f>
        <v>90.234999999999999</v>
      </c>
      <c r="AB35" s="2">
        <v>0</v>
      </c>
      <c r="AC35" s="2">
        <v>0</v>
      </c>
      <c r="AD35" s="23">
        <f t="shared" ca="1" si="7"/>
        <v>3670.4249199999999</v>
      </c>
    </row>
    <row r="36" spans="1:32" x14ac:dyDescent="0.25">
      <c r="A36">
        <v>491</v>
      </c>
      <c r="B36" t="s">
        <v>225</v>
      </c>
      <c r="C36" s="119">
        <v>8159669533</v>
      </c>
      <c r="D36" t="s">
        <v>227</v>
      </c>
      <c r="E36" t="s">
        <v>228</v>
      </c>
      <c r="F36" s="87" t="str">
        <f>VLOOKUP($G36,TABLAS!$P$28:$R$43,3)</f>
        <v>SAJ</v>
      </c>
      <c r="G36" s="102">
        <v>3</v>
      </c>
      <c r="H36" s="8">
        <v>43206</v>
      </c>
      <c r="I36">
        <v>123.5</v>
      </c>
      <c r="L36">
        <f ca="1">VLOOKUP($C$3,TABLAS!$A$2:$B$13,2,0)</f>
        <v>29</v>
      </c>
      <c r="M36" s="123">
        <v>0</v>
      </c>
      <c r="N36" s="123">
        <v>0</v>
      </c>
      <c r="O36" s="123">
        <v>0</v>
      </c>
      <c r="P36">
        <f t="shared" ca="1" si="2"/>
        <v>29</v>
      </c>
      <c r="Q36" s="22">
        <f t="shared" ca="1" si="3"/>
        <v>3581.5</v>
      </c>
      <c r="R36" s="21">
        <f ca="1">VLOOKUP($Q36,TARIFAS!$U$7:$X$18,1)</f>
        <v>578.53</v>
      </c>
      <c r="S36" s="24">
        <f t="shared" ca="1" si="4"/>
        <v>3002.9700000000003</v>
      </c>
      <c r="T36" s="21">
        <f ca="1">VLOOKUP($Q36,TARIFAS!$U$7:$X$18,4)%</f>
        <v>6.4000000000000001E-2</v>
      </c>
      <c r="U36" s="24">
        <f t="shared" ca="1" si="5"/>
        <v>192.19008000000002</v>
      </c>
      <c r="V36">
        <f ca="1">VLOOKUP($Q36,TARIFAS!$U$7:$X$18,3)</f>
        <v>11.11</v>
      </c>
      <c r="W36" s="3">
        <f t="shared" ca="1" si="6"/>
        <v>203.30008000000004</v>
      </c>
      <c r="X36" s="21">
        <f ca="1">VLOOKUP($Q36,TARIFAS!$U$24:$W$34,3)</f>
        <v>382.46</v>
      </c>
      <c r="Y36" s="86">
        <f t="shared" ca="1" si="0"/>
        <v>3760.6599200000001</v>
      </c>
      <c r="Z36" s="101">
        <f t="shared" si="8"/>
        <v>0</v>
      </c>
      <c r="AA36" s="2">
        <f>'IMSS MESUAL'!X38+('IMSS BIM'!O38/2)</f>
        <v>90.234999999999999</v>
      </c>
      <c r="AB36" s="2">
        <v>0</v>
      </c>
      <c r="AC36" s="2">
        <v>0</v>
      </c>
      <c r="AD36" s="23">
        <f t="shared" ca="1" si="7"/>
        <v>3670.4249199999999</v>
      </c>
    </row>
    <row r="37" spans="1:32" x14ac:dyDescent="0.25">
      <c r="A37">
        <v>513</v>
      </c>
      <c r="B37" t="s">
        <v>230</v>
      </c>
      <c r="C37" s="119">
        <v>6836500915</v>
      </c>
      <c r="D37" t="s">
        <v>232</v>
      </c>
      <c r="E37" t="s">
        <v>233</v>
      </c>
      <c r="F37" s="87" t="str">
        <f>VLOOKUP($G37,TABLAS!$P$28:$R$43,3)</f>
        <v>ACF</v>
      </c>
      <c r="G37" s="103">
        <v>12</v>
      </c>
      <c r="H37" s="8">
        <v>43256</v>
      </c>
      <c r="I37">
        <v>123.5</v>
      </c>
      <c r="L37">
        <f ca="1">VLOOKUP($C$3,TABLAS!$A$2:$B$13,2,0)</f>
        <v>29</v>
      </c>
      <c r="M37" s="123">
        <v>0</v>
      </c>
      <c r="N37" s="123">
        <v>0</v>
      </c>
      <c r="O37" s="123">
        <v>0</v>
      </c>
      <c r="P37">
        <f t="shared" ca="1" si="2"/>
        <v>29</v>
      </c>
      <c r="Q37" s="22">
        <f t="shared" ca="1" si="3"/>
        <v>3581.5</v>
      </c>
      <c r="R37" s="21">
        <f ca="1">VLOOKUP($Q37,TARIFAS!$U$7:$X$18,1)</f>
        <v>578.53</v>
      </c>
      <c r="S37" s="24">
        <f t="shared" ca="1" si="4"/>
        <v>3002.9700000000003</v>
      </c>
      <c r="T37" s="21">
        <f ca="1">VLOOKUP($Q37,TARIFAS!$U$7:$X$18,4)%</f>
        <v>6.4000000000000001E-2</v>
      </c>
      <c r="U37" s="24">
        <f t="shared" ca="1" si="5"/>
        <v>192.19008000000002</v>
      </c>
      <c r="V37">
        <f ca="1">VLOOKUP($Q37,TARIFAS!$U$7:$X$18,3)</f>
        <v>11.11</v>
      </c>
      <c r="W37" s="3">
        <f t="shared" ca="1" si="6"/>
        <v>203.30008000000004</v>
      </c>
      <c r="X37" s="21">
        <f ca="1">VLOOKUP($Q37,TARIFAS!$U$24:$W$34,3)</f>
        <v>382.46</v>
      </c>
      <c r="Y37" s="86">
        <f t="shared" ca="1" si="0"/>
        <v>3760.6599200000001</v>
      </c>
      <c r="Z37" s="101">
        <f t="shared" si="8"/>
        <v>0</v>
      </c>
      <c r="AA37" s="2">
        <f>'IMSS MESUAL'!X39+('IMSS BIM'!O39/2)</f>
        <v>90.234999999999999</v>
      </c>
      <c r="AB37" s="2">
        <v>0</v>
      </c>
      <c r="AC37" s="2">
        <v>0</v>
      </c>
      <c r="AD37" s="23">
        <f t="shared" ca="1" si="7"/>
        <v>3670.4249199999999</v>
      </c>
    </row>
    <row r="38" spans="1:32" x14ac:dyDescent="0.25">
      <c r="A38">
        <v>514</v>
      </c>
      <c r="B38" t="s">
        <v>235</v>
      </c>
      <c r="C38" s="119">
        <v>39139818106</v>
      </c>
      <c r="D38" t="s">
        <v>237</v>
      </c>
      <c r="E38" t="s">
        <v>238</v>
      </c>
      <c r="F38" s="87" t="str">
        <f>VLOOKUP($G38,TABLAS!$P$28:$R$43,3)</f>
        <v>SPC</v>
      </c>
      <c r="G38" s="102">
        <v>4</v>
      </c>
      <c r="H38" s="8">
        <v>43279</v>
      </c>
      <c r="I38">
        <v>123.5</v>
      </c>
      <c r="L38">
        <f ca="1">VLOOKUP($C$3,TABLAS!$A$2:$B$13,2,0)</f>
        <v>29</v>
      </c>
      <c r="M38" s="123">
        <v>0</v>
      </c>
      <c r="N38" s="123">
        <v>0</v>
      </c>
      <c r="O38" s="123">
        <v>0</v>
      </c>
      <c r="P38">
        <f t="shared" ca="1" si="2"/>
        <v>29</v>
      </c>
      <c r="Q38" s="22">
        <f t="shared" ca="1" si="3"/>
        <v>3581.5</v>
      </c>
      <c r="R38" s="21">
        <f ca="1">VLOOKUP($Q38,TARIFAS!$U$7:$X$18,1)</f>
        <v>578.53</v>
      </c>
      <c r="S38" s="24">
        <f t="shared" ca="1" si="4"/>
        <v>3002.9700000000003</v>
      </c>
      <c r="T38" s="21">
        <f ca="1">VLOOKUP($Q38,TARIFAS!$U$7:$X$18,4)%</f>
        <v>6.4000000000000001E-2</v>
      </c>
      <c r="U38" s="24">
        <f t="shared" ca="1" si="5"/>
        <v>192.19008000000002</v>
      </c>
      <c r="V38">
        <f ca="1">VLOOKUP($Q38,TARIFAS!$U$7:$X$18,3)</f>
        <v>11.11</v>
      </c>
      <c r="W38" s="3">
        <f t="shared" ca="1" si="6"/>
        <v>203.30008000000004</v>
      </c>
      <c r="X38" s="21">
        <f ca="1">VLOOKUP($Q38,TARIFAS!$U$24:$W$34,3)</f>
        <v>382.46</v>
      </c>
      <c r="Y38" s="86">
        <f t="shared" ref="Y38:Y60" ca="1" si="9">Q38-W38+X38</f>
        <v>3760.6599200000001</v>
      </c>
      <c r="Z38" s="101">
        <f t="shared" si="8"/>
        <v>0</v>
      </c>
      <c r="AA38" s="2">
        <f>'IMSS MESUAL'!X40+('IMSS BIM'!O40/2)</f>
        <v>90.234999999999999</v>
      </c>
      <c r="AB38" s="2">
        <v>0</v>
      </c>
      <c r="AC38" s="2">
        <v>0</v>
      </c>
      <c r="AD38" s="23">
        <f t="shared" ca="1" si="7"/>
        <v>3670.4249199999999</v>
      </c>
    </row>
    <row r="39" spans="1:32" x14ac:dyDescent="0.25">
      <c r="A39">
        <v>518</v>
      </c>
      <c r="B39" t="s">
        <v>240</v>
      </c>
      <c r="C39" s="119">
        <v>39149938894</v>
      </c>
      <c r="D39" t="s">
        <v>242</v>
      </c>
      <c r="E39" t="s">
        <v>243</v>
      </c>
      <c r="F39" s="87" t="str">
        <f>VLOOKUP($G39,TABLAS!$P$28:$R$43,3)</f>
        <v>SPD</v>
      </c>
      <c r="G39" s="103">
        <v>2</v>
      </c>
      <c r="H39" s="8">
        <v>43572</v>
      </c>
      <c r="I39">
        <v>123.5</v>
      </c>
      <c r="L39">
        <f ca="1">VLOOKUP($C$3,TABLAS!$A$2:$B$13,2,0)</f>
        <v>29</v>
      </c>
      <c r="M39" s="123">
        <v>0</v>
      </c>
      <c r="N39" s="123">
        <v>0</v>
      </c>
      <c r="O39" s="123">
        <v>0</v>
      </c>
      <c r="P39">
        <f t="shared" ca="1" si="2"/>
        <v>29</v>
      </c>
      <c r="Q39" s="22">
        <f t="shared" ca="1" si="3"/>
        <v>3581.5</v>
      </c>
      <c r="R39" s="21">
        <f ca="1">VLOOKUP($Q39,TARIFAS!$U$7:$X$18,1)</f>
        <v>578.53</v>
      </c>
      <c r="S39" s="24">
        <f t="shared" ca="1" si="4"/>
        <v>3002.9700000000003</v>
      </c>
      <c r="T39" s="21">
        <f ca="1">VLOOKUP($Q39,TARIFAS!$U$7:$X$18,4)%</f>
        <v>6.4000000000000001E-2</v>
      </c>
      <c r="U39" s="24">
        <f t="shared" ca="1" si="5"/>
        <v>192.19008000000002</v>
      </c>
      <c r="V39">
        <f ca="1">VLOOKUP($Q39,TARIFAS!$U$7:$X$18,3)</f>
        <v>11.11</v>
      </c>
      <c r="W39" s="3">
        <f t="shared" ca="1" si="6"/>
        <v>203.30008000000004</v>
      </c>
      <c r="X39" s="21">
        <f ca="1">VLOOKUP($Q39,TARIFAS!$U$24:$W$34,3)</f>
        <v>382.46</v>
      </c>
      <c r="Y39" s="86">
        <f t="shared" ca="1" si="9"/>
        <v>3760.6599200000001</v>
      </c>
      <c r="Z39" s="101">
        <f t="shared" si="8"/>
        <v>0</v>
      </c>
      <c r="AA39" s="2">
        <f>'IMSS MESUAL'!X41+('IMSS BIM'!O41/2)</f>
        <v>90.234999999999999</v>
      </c>
      <c r="AB39" s="2">
        <v>0</v>
      </c>
      <c r="AC39" s="2">
        <v>0</v>
      </c>
      <c r="AD39" s="23">
        <f t="shared" ca="1" si="7"/>
        <v>3670.4249199999999</v>
      </c>
    </row>
    <row r="40" spans="1:32" x14ac:dyDescent="0.25">
      <c r="A40">
        <v>522</v>
      </c>
      <c r="B40" t="s">
        <v>245</v>
      </c>
      <c r="C40" s="119">
        <v>2179442773</v>
      </c>
      <c r="D40" t="s">
        <v>247</v>
      </c>
      <c r="E40" t="s">
        <v>248</v>
      </c>
      <c r="F40" s="87" t="str">
        <f>VLOOKUP($G40,TABLAS!$P$28:$R$43,3)</f>
        <v>SSJ</v>
      </c>
      <c r="G40" s="102">
        <v>1</v>
      </c>
      <c r="H40" s="8">
        <v>43321</v>
      </c>
      <c r="I40">
        <v>123.5</v>
      </c>
      <c r="L40">
        <f ca="1">VLOOKUP($C$3,TABLAS!$A$2:$B$13,2,0)</f>
        <v>29</v>
      </c>
      <c r="M40" s="123">
        <v>0</v>
      </c>
      <c r="N40" s="123">
        <v>0</v>
      </c>
      <c r="O40" s="123">
        <v>0</v>
      </c>
      <c r="P40">
        <f t="shared" ca="1" si="2"/>
        <v>29</v>
      </c>
      <c r="Q40" s="22">
        <f t="shared" ca="1" si="3"/>
        <v>3581.5</v>
      </c>
      <c r="R40" s="21">
        <f ca="1">VLOOKUP($Q40,TARIFAS!$U$7:$X$18,1)</f>
        <v>578.53</v>
      </c>
      <c r="S40" s="24">
        <f t="shared" ca="1" si="4"/>
        <v>3002.9700000000003</v>
      </c>
      <c r="T40" s="21">
        <f ca="1">VLOOKUP($Q40,TARIFAS!$U$7:$X$18,4)%</f>
        <v>6.4000000000000001E-2</v>
      </c>
      <c r="U40" s="24">
        <f t="shared" ca="1" si="5"/>
        <v>192.19008000000002</v>
      </c>
      <c r="V40">
        <f ca="1">VLOOKUP($Q40,TARIFAS!$U$7:$X$18,3)</f>
        <v>11.11</v>
      </c>
      <c r="W40" s="3">
        <f t="shared" ca="1" si="6"/>
        <v>203.30008000000004</v>
      </c>
      <c r="X40" s="21">
        <f ca="1">VLOOKUP($Q40,TARIFAS!$U$24:$W$34,3)</f>
        <v>382.46</v>
      </c>
      <c r="Y40" s="86">
        <f t="shared" ca="1" si="9"/>
        <v>3760.6599200000001</v>
      </c>
      <c r="Z40" s="101">
        <f t="shared" si="8"/>
        <v>0</v>
      </c>
      <c r="AA40" s="2">
        <f>'IMSS MESUAL'!X42+('IMSS BIM'!O42/2)</f>
        <v>90.234999999999999</v>
      </c>
      <c r="AB40" s="2">
        <v>0</v>
      </c>
      <c r="AC40" s="2">
        <v>0</v>
      </c>
      <c r="AD40" s="23">
        <f t="shared" ca="1" si="7"/>
        <v>3670.4249199999999</v>
      </c>
    </row>
    <row r="41" spans="1:32" x14ac:dyDescent="0.25">
      <c r="A41">
        <v>530</v>
      </c>
      <c r="B41" t="s">
        <v>250</v>
      </c>
      <c r="C41" s="119">
        <v>62169926607</v>
      </c>
      <c r="D41" t="s">
        <v>252</v>
      </c>
      <c r="E41" t="s">
        <v>253</v>
      </c>
      <c r="F41" s="87" t="str">
        <f>VLOOKUP($G41,TABLAS!$P$28:$R$43,3)</f>
        <v>SPC</v>
      </c>
      <c r="G41" s="103">
        <v>4</v>
      </c>
      <c r="H41" s="8">
        <v>43353</v>
      </c>
      <c r="I41">
        <v>123.5</v>
      </c>
      <c r="L41">
        <f ca="1">VLOOKUP($C$3,TABLAS!$A$2:$B$13,2,0)</f>
        <v>29</v>
      </c>
      <c r="M41" s="123">
        <v>0</v>
      </c>
      <c r="N41" s="123">
        <v>0</v>
      </c>
      <c r="O41" s="123">
        <v>0</v>
      </c>
      <c r="P41">
        <f t="shared" ca="1" si="2"/>
        <v>29</v>
      </c>
      <c r="Q41" s="22">
        <f t="shared" ca="1" si="3"/>
        <v>3581.5</v>
      </c>
      <c r="R41" s="21">
        <f ca="1">VLOOKUP($Q41,TARIFAS!$U$7:$X$18,1)</f>
        <v>578.53</v>
      </c>
      <c r="S41" s="24">
        <f t="shared" ca="1" si="4"/>
        <v>3002.9700000000003</v>
      </c>
      <c r="T41" s="21">
        <f ca="1">VLOOKUP($Q41,TARIFAS!$U$7:$X$18,4)%</f>
        <v>6.4000000000000001E-2</v>
      </c>
      <c r="U41" s="24">
        <f t="shared" ca="1" si="5"/>
        <v>192.19008000000002</v>
      </c>
      <c r="V41">
        <f ca="1">VLOOKUP($Q41,TARIFAS!$U$7:$X$18,3)</f>
        <v>11.11</v>
      </c>
      <c r="W41" s="3">
        <f t="shared" ca="1" si="6"/>
        <v>203.30008000000004</v>
      </c>
      <c r="X41" s="21">
        <f ca="1">VLOOKUP($Q41,TARIFAS!$U$24:$W$34,3)</f>
        <v>382.46</v>
      </c>
      <c r="Y41" s="86">
        <f t="shared" ca="1" si="9"/>
        <v>3760.6599200000001</v>
      </c>
      <c r="Z41" s="101">
        <f t="shared" si="8"/>
        <v>0</v>
      </c>
      <c r="AA41" s="2">
        <f>'IMSS MESUAL'!X43+('IMSS BIM'!O43/2)</f>
        <v>90.234999999999999</v>
      </c>
      <c r="AB41" s="2">
        <v>0</v>
      </c>
      <c r="AC41" s="2">
        <v>0</v>
      </c>
      <c r="AD41" s="23">
        <f t="shared" ca="1" si="7"/>
        <v>3670.4249199999999</v>
      </c>
    </row>
    <row r="42" spans="1:32" x14ac:dyDescent="0.25">
      <c r="A42">
        <v>541</v>
      </c>
      <c r="B42" t="s">
        <v>255</v>
      </c>
      <c r="C42" s="119">
        <v>39149706077</v>
      </c>
      <c r="D42" t="s">
        <v>257</v>
      </c>
      <c r="E42" t="s">
        <v>258</v>
      </c>
      <c r="F42" s="87" t="str">
        <f>VLOOKUP($G42,TABLAS!$P$28:$R$43,3)</f>
        <v>SSJ</v>
      </c>
      <c r="G42" s="102">
        <v>1</v>
      </c>
      <c r="H42" s="8">
        <v>43389</v>
      </c>
      <c r="I42">
        <v>123.5</v>
      </c>
      <c r="L42">
        <f ca="1">VLOOKUP($C$3,TABLAS!$A$2:$B$13,2,0)</f>
        <v>29</v>
      </c>
      <c r="M42" s="123">
        <v>0</v>
      </c>
      <c r="N42" s="123">
        <v>0</v>
      </c>
      <c r="O42" s="123">
        <v>0</v>
      </c>
      <c r="P42">
        <f t="shared" ca="1" si="2"/>
        <v>29</v>
      </c>
      <c r="Q42" s="22">
        <f t="shared" ca="1" si="3"/>
        <v>3581.5</v>
      </c>
      <c r="R42" s="21">
        <f ca="1">VLOOKUP($Q42,TARIFAS!$U$7:$X$18,1)</f>
        <v>578.53</v>
      </c>
      <c r="S42" s="24">
        <f t="shared" ca="1" si="4"/>
        <v>3002.9700000000003</v>
      </c>
      <c r="T42" s="21">
        <f ca="1">VLOOKUP($Q42,TARIFAS!$U$7:$X$18,4)%</f>
        <v>6.4000000000000001E-2</v>
      </c>
      <c r="U42" s="24">
        <f t="shared" ca="1" si="5"/>
        <v>192.19008000000002</v>
      </c>
      <c r="V42">
        <f ca="1">VLOOKUP($Q42,TARIFAS!$U$7:$X$18,3)</f>
        <v>11.11</v>
      </c>
      <c r="W42" s="3">
        <f t="shared" ca="1" si="6"/>
        <v>203.30008000000004</v>
      </c>
      <c r="X42" s="21">
        <f ca="1">VLOOKUP($Q42,TARIFAS!$U$24:$W$34,3)</f>
        <v>382.46</v>
      </c>
      <c r="Y42" s="86">
        <f t="shared" ca="1" si="9"/>
        <v>3760.6599200000001</v>
      </c>
      <c r="Z42" s="101">
        <f t="shared" si="8"/>
        <v>0</v>
      </c>
      <c r="AA42" s="2">
        <f>'IMSS MESUAL'!X44+('IMSS BIM'!O44/2)</f>
        <v>90.234999999999999</v>
      </c>
      <c r="AB42" s="2">
        <v>0</v>
      </c>
      <c r="AC42" s="2">
        <v>0</v>
      </c>
      <c r="AD42" s="23">
        <f t="shared" ca="1" si="7"/>
        <v>3670.4249199999999</v>
      </c>
    </row>
    <row r="43" spans="1:32" x14ac:dyDescent="0.25">
      <c r="A43">
        <v>547</v>
      </c>
      <c r="B43" t="s">
        <v>260</v>
      </c>
      <c r="C43" s="119">
        <v>39090000520</v>
      </c>
      <c r="D43" t="s">
        <v>262</v>
      </c>
      <c r="E43" t="s">
        <v>263</v>
      </c>
      <c r="F43" s="87" t="str">
        <f>VLOOKUP($G43,TABLAS!$P$28:$R$43,3)</f>
        <v>SPC</v>
      </c>
      <c r="G43" s="103">
        <v>4</v>
      </c>
      <c r="H43" s="8">
        <v>43417</v>
      </c>
      <c r="I43">
        <v>123.5</v>
      </c>
      <c r="L43">
        <f ca="1">VLOOKUP($C$3,TABLAS!$A$2:$B$13,2,0)</f>
        <v>29</v>
      </c>
      <c r="M43" s="123">
        <v>0</v>
      </c>
      <c r="N43" s="123">
        <v>0</v>
      </c>
      <c r="O43" s="123">
        <v>0</v>
      </c>
      <c r="P43">
        <f t="shared" ca="1" si="2"/>
        <v>29</v>
      </c>
      <c r="Q43" s="22">
        <f t="shared" ca="1" si="3"/>
        <v>3581.5</v>
      </c>
      <c r="R43" s="21">
        <f ca="1">VLOOKUP($Q43,TARIFAS!$U$7:$X$18,1)</f>
        <v>578.53</v>
      </c>
      <c r="S43" s="24">
        <f t="shared" ca="1" si="4"/>
        <v>3002.9700000000003</v>
      </c>
      <c r="T43" s="21">
        <f ca="1">VLOOKUP($Q43,TARIFAS!$U$7:$X$18,4)%</f>
        <v>6.4000000000000001E-2</v>
      </c>
      <c r="U43" s="24">
        <f t="shared" ca="1" si="5"/>
        <v>192.19008000000002</v>
      </c>
      <c r="V43">
        <f ca="1">VLOOKUP($Q43,TARIFAS!$U$7:$X$18,3)</f>
        <v>11.11</v>
      </c>
      <c r="W43" s="3">
        <f t="shared" ca="1" si="6"/>
        <v>203.30008000000004</v>
      </c>
      <c r="X43" s="21">
        <f ca="1">VLOOKUP($Q43,TARIFAS!$U$24:$W$34,3)</f>
        <v>382.46</v>
      </c>
      <c r="Y43" s="86">
        <f t="shared" ca="1" si="9"/>
        <v>3760.6599200000001</v>
      </c>
      <c r="Z43" s="101">
        <f t="shared" si="8"/>
        <v>0</v>
      </c>
      <c r="AA43" s="2">
        <f>'IMSS MESUAL'!X45+('IMSS BIM'!O45/2)</f>
        <v>90.234999999999999</v>
      </c>
      <c r="AB43" s="2">
        <v>0</v>
      </c>
      <c r="AC43" s="2">
        <v>0</v>
      </c>
      <c r="AD43" s="23">
        <f t="shared" ca="1" si="7"/>
        <v>3670.4249199999999</v>
      </c>
    </row>
    <row r="44" spans="1:32" x14ac:dyDescent="0.25">
      <c r="A44">
        <v>550</v>
      </c>
      <c r="B44" t="s">
        <v>265</v>
      </c>
      <c r="C44" s="119">
        <v>39139563272</v>
      </c>
      <c r="D44" t="s">
        <v>267</v>
      </c>
      <c r="E44" t="s">
        <v>268</v>
      </c>
      <c r="F44" s="87" t="str">
        <f>VLOOKUP($G44,TABLAS!$P$28:$R$43,3)</f>
        <v>SAJ</v>
      </c>
      <c r="G44" s="102">
        <v>3</v>
      </c>
      <c r="H44" s="8">
        <v>43431</v>
      </c>
      <c r="I44">
        <v>123.5</v>
      </c>
      <c r="L44">
        <f ca="1">VLOOKUP($C$3,TABLAS!$A$2:$B$13,2,0)</f>
        <v>29</v>
      </c>
      <c r="M44" s="123">
        <v>0</v>
      </c>
      <c r="N44" s="123">
        <v>0</v>
      </c>
      <c r="O44" s="123">
        <v>0</v>
      </c>
      <c r="P44">
        <f t="shared" ca="1" si="2"/>
        <v>29</v>
      </c>
      <c r="Q44" s="22">
        <f t="shared" ca="1" si="3"/>
        <v>3581.5</v>
      </c>
      <c r="R44" s="21">
        <f ca="1">VLOOKUP($Q44,TARIFAS!$U$7:$X$18,1)</f>
        <v>578.53</v>
      </c>
      <c r="S44" s="24">
        <f t="shared" ca="1" si="4"/>
        <v>3002.9700000000003</v>
      </c>
      <c r="T44" s="21">
        <f ca="1">VLOOKUP($Q44,TARIFAS!$U$7:$X$18,4)%</f>
        <v>6.4000000000000001E-2</v>
      </c>
      <c r="U44" s="24">
        <f t="shared" ca="1" si="5"/>
        <v>192.19008000000002</v>
      </c>
      <c r="V44">
        <f ca="1">VLOOKUP($Q44,TARIFAS!$U$7:$X$18,3)</f>
        <v>11.11</v>
      </c>
      <c r="W44" s="3">
        <f t="shared" ca="1" si="6"/>
        <v>203.30008000000004</v>
      </c>
      <c r="X44" s="21">
        <f ca="1">VLOOKUP($Q44,TARIFAS!$U$24:$W$34,3)</f>
        <v>382.46</v>
      </c>
      <c r="Y44" s="86">
        <f t="shared" ca="1" si="9"/>
        <v>3760.6599200000001</v>
      </c>
      <c r="Z44" s="101">
        <f t="shared" si="8"/>
        <v>0</v>
      </c>
      <c r="AA44" s="2">
        <f>'IMSS MESUAL'!X46+('IMSS BIM'!O46/2)</f>
        <v>90.234999999999999</v>
      </c>
      <c r="AB44" s="2">
        <v>0</v>
      </c>
      <c r="AC44" s="2">
        <v>0</v>
      </c>
      <c r="AD44" s="23">
        <f t="shared" ca="1" si="7"/>
        <v>3670.4249199999999</v>
      </c>
    </row>
    <row r="45" spans="1:32" x14ac:dyDescent="0.25">
      <c r="A45">
        <v>552</v>
      </c>
      <c r="B45" t="s">
        <v>270</v>
      </c>
      <c r="C45" s="119">
        <v>46160032697</v>
      </c>
      <c r="D45" t="s">
        <v>272</v>
      </c>
      <c r="E45" t="s">
        <v>273</v>
      </c>
      <c r="F45" s="87" t="str">
        <f>VLOOKUP($G45,TABLAS!$P$28:$R$43,3)</f>
        <v>SPC</v>
      </c>
      <c r="G45" s="103">
        <v>4</v>
      </c>
      <c r="H45" s="8">
        <v>43431</v>
      </c>
      <c r="I45">
        <v>123.5</v>
      </c>
      <c r="L45">
        <f ca="1">VLOOKUP($C$3,TABLAS!$A$2:$B$13,2,0)</f>
        <v>29</v>
      </c>
      <c r="M45" s="123">
        <v>0</v>
      </c>
      <c r="N45" s="123">
        <v>0</v>
      </c>
      <c r="O45" s="123">
        <v>0</v>
      </c>
      <c r="P45">
        <f t="shared" ca="1" si="2"/>
        <v>29</v>
      </c>
      <c r="Q45" s="22">
        <f t="shared" ca="1" si="3"/>
        <v>3581.5</v>
      </c>
      <c r="R45" s="21">
        <f ca="1">VLOOKUP($Q45,TARIFAS!$U$7:$X$18,1)</f>
        <v>578.53</v>
      </c>
      <c r="S45" s="24">
        <f t="shared" ca="1" si="4"/>
        <v>3002.9700000000003</v>
      </c>
      <c r="T45" s="21">
        <f ca="1">VLOOKUP($Q45,TARIFAS!$U$7:$X$18,4)%</f>
        <v>6.4000000000000001E-2</v>
      </c>
      <c r="U45" s="24">
        <f t="shared" ca="1" si="5"/>
        <v>192.19008000000002</v>
      </c>
      <c r="V45">
        <f ca="1">VLOOKUP($Q45,TARIFAS!$U$7:$X$18,3)</f>
        <v>11.11</v>
      </c>
      <c r="W45" s="3">
        <f t="shared" ca="1" si="6"/>
        <v>203.30008000000004</v>
      </c>
      <c r="X45" s="21">
        <f ca="1">VLOOKUP($Q45,TARIFAS!$U$24:$W$34,3)</f>
        <v>382.46</v>
      </c>
      <c r="Y45" s="86">
        <f t="shared" ca="1" si="9"/>
        <v>3760.6599200000001</v>
      </c>
      <c r="Z45" s="101">
        <f t="shared" si="8"/>
        <v>0</v>
      </c>
      <c r="AA45" s="2">
        <f>'IMSS MESUAL'!X47+('IMSS BIM'!O47/2)</f>
        <v>90.234999999999999</v>
      </c>
      <c r="AB45" s="2">
        <v>0</v>
      </c>
      <c r="AC45" s="2">
        <v>0</v>
      </c>
      <c r="AD45" s="23">
        <f t="shared" ca="1" si="7"/>
        <v>3670.4249199999999</v>
      </c>
      <c r="AE45" s="3"/>
      <c r="AF45" s="3"/>
    </row>
    <row r="46" spans="1:32" x14ac:dyDescent="0.25">
      <c r="A46">
        <v>554</v>
      </c>
      <c r="B46" t="s">
        <v>275</v>
      </c>
      <c r="C46" s="119">
        <v>39139419202</v>
      </c>
      <c r="D46" t="s">
        <v>277</v>
      </c>
      <c r="E46" t="s">
        <v>278</v>
      </c>
      <c r="F46" s="87" t="str">
        <f>VLOOKUP($G46,TABLAS!$P$28:$R$43,3)</f>
        <v>SAJ</v>
      </c>
      <c r="G46" s="102">
        <v>3</v>
      </c>
      <c r="H46" s="8">
        <v>43800</v>
      </c>
      <c r="I46">
        <v>123.5</v>
      </c>
      <c r="L46">
        <f ca="1">VLOOKUP($C$3,TABLAS!$A$2:$B$13,2,0)</f>
        <v>29</v>
      </c>
      <c r="M46" s="123">
        <v>0</v>
      </c>
      <c r="N46" s="123">
        <v>0</v>
      </c>
      <c r="O46" s="123">
        <v>0</v>
      </c>
      <c r="P46">
        <f t="shared" ca="1" si="2"/>
        <v>29</v>
      </c>
      <c r="Q46" s="22">
        <f t="shared" ca="1" si="3"/>
        <v>3581.5</v>
      </c>
      <c r="R46" s="21">
        <f ca="1">VLOOKUP($Q46,TARIFAS!$U$7:$X$18,1)</f>
        <v>578.53</v>
      </c>
      <c r="S46" s="24">
        <f t="shared" ca="1" si="4"/>
        <v>3002.9700000000003</v>
      </c>
      <c r="T46" s="21">
        <f ca="1">VLOOKUP($Q46,TARIFAS!$U$7:$X$18,4)%</f>
        <v>6.4000000000000001E-2</v>
      </c>
      <c r="U46" s="24">
        <f t="shared" ca="1" si="5"/>
        <v>192.19008000000002</v>
      </c>
      <c r="V46">
        <f ca="1">VLOOKUP($Q46,TARIFAS!$U$7:$X$18,3)</f>
        <v>11.11</v>
      </c>
      <c r="W46" s="3">
        <f t="shared" ca="1" si="6"/>
        <v>203.30008000000004</v>
      </c>
      <c r="X46" s="21">
        <f ca="1">VLOOKUP($Q46,TARIFAS!$U$24:$W$34,3)</f>
        <v>382.46</v>
      </c>
      <c r="Y46" s="86">
        <f t="shared" ca="1" si="9"/>
        <v>3760.6599200000001</v>
      </c>
      <c r="Z46" s="101">
        <f t="shared" si="8"/>
        <v>0</v>
      </c>
      <c r="AA46" s="2">
        <f>'IMSS MESUAL'!X48+('IMSS BIM'!O48/2)</f>
        <v>90.234999999999999</v>
      </c>
      <c r="AB46" s="2">
        <v>0</v>
      </c>
      <c r="AC46" s="2">
        <v>0</v>
      </c>
      <c r="AD46" s="23">
        <f t="shared" ca="1" si="7"/>
        <v>3670.4249199999999</v>
      </c>
    </row>
    <row r="47" spans="1:32" x14ac:dyDescent="0.25">
      <c r="A47">
        <v>566</v>
      </c>
      <c r="B47" t="s">
        <v>280</v>
      </c>
      <c r="C47" s="119">
        <v>38149322208</v>
      </c>
      <c r="D47" t="s">
        <v>282</v>
      </c>
      <c r="E47" t="s">
        <v>283</v>
      </c>
      <c r="F47" s="87" t="str">
        <f>VLOOKUP($G47,TABLAS!$P$28:$R$43,3)</f>
        <v>SAJ</v>
      </c>
      <c r="G47" s="103">
        <v>3</v>
      </c>
      <c r="H47" s="8">
        <v>43496</v>
      </c>
      <c r="I47">
        <v>123.5</v>
      </c>
      <c r="L47">
        <f ca="1">VLOOKUP($C$3,TABLAS!$A$2:$B$13,2,0)</f>
        <v>29</v>
      </c>
      <c r="M47" s="123">
        <v>0</v>
      </c>
      <c r="N47" s="123">
        <v>0</v>
      </c>
      <c r="O47" s="123">
        <v>0</v>
      </c>
      <c r="P47">
        <f t="shared" ca="1" si="2"/>
        <v>29</v>
      </c>
      <c r="Q47" s="22">
        <f t="shared" ca="1" si="3"/>
        <v>3581.5</v>
      </c>
      <c r="R47" s="21">
        <f ca="1">VLOOKUP($Q47,TARIFAS!$U$7:$X$18,1)</f>
        <v>578.53</v>
      </c>
      <c r="S47" s="24">
        <f t="shared" ca="1" si="4"/>
        <v>3002.9700000000003</v>
      </c>
      <c r="T47" s="21">
        <f ca="1">VLOOKUP($Q47,TARIFAS!$U$7:$X$18,4)%</f>
        <v>6.4000000000000001E-2</v>
      </c>
      <c r="U47" s="24">
        <f t="shared" ca="1" si="5"/>
        <v>192.19008000000002</v>
      </c>
      <c r="V47">
        <f ca="1">VLOOKUP($Q47,TARIFAS!$U$7:$X$18,3)</f>
        <v>11.11</v>
      </c>
      <c r="W47" s="3">
        <f t="shared" ca="1" si="6"/>
        <v>203.30008000000004</v>
      </c>
      <c r="X47" s="21">
        <f ca="1">VLOOKUP($Q47,TARIFAS!$U$24:$W$34,3)</f>
        <v>382.46</v>
      </c>
      <c r="Y47" s="86">
        <f t="shared" ca="1" si="9"/>
        <v>3760.6599200000001</v>
      </c>
      <c r="Z47" s="101">
        <f t="shared" si="8"/>
        <v>0</v>
      </c>
      <c r="AA47" s="2">
        <f>'IMSS MESUAL'!X49+('IMSS BIM'!O49/2)</f>
        <v>90.234999999999999</v>
      </c>
      <c r="AB47" s="2">
        <v>0</v>
      </c>
      <c r="AC47" s="2">
        <v>0</v>
      </c>
      <c r="AD47" s="23">
        <f t="shared" ca="1" si="7"/>
        <v>3670.4249199999999</v>
      </c>
      <c r="AE47" s="3"/>
      <c r="AF47" s="3"/>
    </row>
    <row r="48" spans="1:32" x14ac:dyDescent="0.25">
      <c r="A48">
        <v>567</v>
      </c>
      <c r="B48" t="s">
        <v>285</v>
      </c>
      <c r="C48" s="119">
        <v>11987202311</v>
      </c>
      <c r="D48" t="s">
        <v>287</v>
      </c>
      <c r="E48" t="s">
        <v>288</v>
      </c>
      <c r="F48" s="87" t="str">
        <f>VLOOKUP($G48,TABLAS!$P$28:$R$43,3)</f>
        <v>SPD</v>
      </c>
      <c r="G48" s="102">
        <v>2</v>
      </c>
      <c r="H48" s="8">
        <v>43497</v>
      </c>
      <c r="I48">
        <v>123.5</v>
      </c>
      <c r="L48">
        <f ca="1">VLOOKUP($C$3,TABLAS!$A$2:$B$13,2,0)</f>
        <v>29</v>
      </c>
      <c r="M48" s="123">
        <v>0</v>
      </c>
      <c r="N48" s="123">
        <v>0</v>
      </c>
      <c r="O48" s="123">
        <v>0</v>
      </c>
      <c r="P48">
        <f t="shared" ca="1" si="2"/>
        <v>29</v>
      </c>
      <c r="Q48" s="22">
        <f t="shared" ca="1" si="3"/>
        <v>3581.5</v>
      </c>
      <c r="R48" s="21">
        <f ca="1">VLOOKUP($Q48,TARIFAS!$U$7:$X$18,1)</f>
        <v>578.53</v>
      </c>
      <c r="S48" s="24">
        <f t="shared" ca="1" si="4"/>
        <v>3002.9700000000003</v>
      </c>
      <c r="T48" s="21">
        <f ca="1">VLOOKUP($Q48,TARIFAS!$U$7:$X$18,4)%</f>
        <v>6.4000000000000001E-2</v>
      </c>
      <c r="U48" s="24">
        <f t="shared" ca="1" si="5"/>
        <v>192.19008000000002</v>
      </c>
      <c r="V48">
        <f ca="1">VLOOKUP($Q48,TARIFAS!$U$7:$X$18,3)</f>
        <v>11.11</v>
      </c>
      <c r="W48" s="3">
        <f t="shared" ca="1" si="6"/>
        <v>203.30008000000004</v>
      </c>
      <c r="X48" s="21">
        <f ca="1">VLOOKUP($Q48,TARIFAS!$U$24:$W$34,3)</f>
        <v>382.46</v>
      </c>
      <c r="Y48" s="86">
        <f t="shared" ca="1" si="9"/>
        <v>3760.6599200000001</v>
      </c>
      <c r="Z48" s="101">
        <f t="shared" si="8"/>
        <v>0</v>
      </c>
      <c r="AA48" s="2">
        <f>'IMSS MESUAL'!X50+('IMSS BIM'!O50/2)</f>
        <v>90.234999999999999</v>
      </c>
      <c r="AB48" s="2">
        <v>0</v>
      </c>
      <c r="AC48" s="2">
        <v>0</v>
      </c>
      <c r="AD48" s="23">
        <f t="shared" ca="1" si="7"/>
        <v>3670.4249199999999</v>
      </c>
    </row>
    <row r="49" spans="1:32" x14ac:dyDescent="0.25">
      <c r="A49">
        <v>573</v>
      </c>
      <c r="B49" t="s">
        <v>290</v>
      </c>
      <c r="C49" s="119">
        <v>5149792730</v>
      </c>
      <c r="D49" t="s">
        <v>292</v>
      </c>
      <c r="E49" t="s">
        <v>293</v>
      </c>
      <c r="F49" s="87" t="str">
        <f>VLOOKUP($G49,TABLAS!$P$28:$R$43,3)</f>
        <v>SSJ</v>
      </c>
      <c r="G49" s="103">
        <v>1</v>
      </c>
      <c r="H49" s="8">
        <v>43528</v>
      </c>
      <c r="I49">
        <v>329.43</v>
      </c>
      <c r="L49">
        <f ca="1">VLOOKUP($C$3,TABLAS!$A$2:$B$13,2,0)</f>
        <v>29</v>
      </c>
      <c r="M49" s="123">
        <v>0</v>
      </c>
      <c r="N49" s="123">
        <v>0</v>
      </c>
      <c r="O49" s="123">
        <v>0</v>
      </c>
      <c r="P49">
        <f t="shared" ca="1" si="2"/>
        <v>29</v>
      </c>
      <c r="Q49" s="22">
        <f t="shared" ca="1" si="3"/>
        <v>9553.4699999999993</v>
      </c>
      <c r="R49" s="21">
        <f ca="1">VLOOKUP($Q49,TARIFAS!$U$7:$X$18,1)</f>
        <v>8629.2099999999991</v>
      </c>
      <c r="S49" s="24">
        <f t="shared" ca="1" si="4"/>
        <v>924.26000000000022</v>
      </c>
      <c r="T49" s="21">
        <f ca="1">VLOOKUP($Q49,TARIFAS!$U$7:$X$18,4)%</f>
        <v>0.16</v>
      </c>
      <c r="U49" s="24">
        <f t="shared" ca="1" si="5"/>
        <v>147.88160000000005</v>
      </c>
      <c r="V49">
        <f ca="1">VLOOKUP($Q49,TARIFAS!$U$7:$X$18,3)</f>
        <v>692.96</v>
      </c>
      <c r="W49" s="3">
        <f t="shared" ca="1" si="6"/>
        <v>840.84160000000008</v>
      </c>
      <c r="X49" s="21">
        <f ca="1">VLOOKUP($Q49,TARIFAS!$U$24:$W$34,3)</f>
        <v>0</v>
      </c>
      <c r="Y49" s="86">
        <f t="shared" ca="1" si="9"/>
        <v>8712.6283999999996</v>
      </c>
      <c r="Z49" s="101">
        <f t="shared" si="8"/>
        <v>0</v>
      </c>
      <c r="AA49" s="2">
        <f>'IMSS MESUAL'!X51+('IMSS BIM'!O51/2)</f>
        <v>249.22495999999998</v>
      </c>
      <c r="AB49" s="2">
        <v>0</v>
      </c>
      <c r="AC49" s="2">
        <v>0</v>
      </c>
      <c r="AD49" s="23">
        <f t="shared" ca="1" si="7"/>
        <v>8463.40344</v>
      </c>
    </row>
    <row r="50" spans="1:32" x14ac:dyDescent="0.25">
      <c r="A50">
        <v>576</v>
      </c>
      <c r="B50" t="s">
        <v>295</v>
      </c>
      <c r="C50" s="119">
        <v>39119248225</v>
      </c>
      <c r="D50" t="s">
        <v>297</v>
      </c>
      <c r="E50" t="s">
        <v>298</v>
      </c>
      <c r="F50" s="87" t="str">
        <f>VLOOKUP($G50,TABLAS!$P$28:$R$43,3)</f>
        <v>SSJ</v>
      </c>
      <c r="G50" s="102">
        <v>1</v>
      </c>
      <c r="H50" s="8">
        <v>43544</v>
      </c>
      <c r="I50">
        <v>123.5</v>
      </c>
      <c r="L50">
        <f ca="1">VLOOKUP($C$3,TABLAS!$A$2:$B$13,2,0)</f>
        <v>29</v>
      </c>
      <c r="M50" s="123">
        <v>0</v>
      </c>
      <c r="N50" s="123">
        <v>0</v>
      </c>
      <c r="O50" s="123">
        <v>0</v>
      </c>
      <c r="P50">
        <f t="shared" ca="1" si="2"/>
        <v>29</v>
      </c>
      <c r="Q50" s="22">
        <f t="shared" ca="1" si="3"/>
        <v>3581.5</v>
      </c>
      <c r="R50" s="21">
        <f ca="1">VLOOKUP($Q50,TARIFAS!$U$7:$X$18,1)</f>
        <v>578.53</v>
      </c>
      <c r="S50" s="24">
        <f t="shared" ca="1" si="4"/>
        <v>3002.9700000000003</v>
      </c>
      <c r="T50" s="21">
        <f ca="1">VLOOKUP($Q50,TARIFAS!$U$7:$X$18,4)%</f>
        <v>6.4000000000000001E-2</v>
      </c>
      <c r="U50" s="24">
        <f t="shared" ca="1" si="5"/>
        <v>192.19008000000002</v>
      </c>
      <c r="V50">
        <f ca="1">VLOOKUP($Q50,TARIFAS!$U$7:$X$18,3)</f>
        <v>11.11</v>
      </c>
      <c r="W50" s="3">
        <f t="shared" ca="1" si="6"/>
        <v>203.30008000000004</v>
      </c>
      <c r="X50" s="21">
        <f ca="1">VLOOKUP($Q50,TARIFAS!$U$24:$W$34,3)</f>
        <v>382.46</v>
      </c>
      <c r="Y50" s="86">
        <f t="shared" ca="1" si="9"/>
        <v>3760.6599200000001</v>
      </c>
      <c r="Z50" s="101">
        <f t="shared" si="8"/>
        <v>0</v>
      </c>
      <c r="AA50" s="2">
        <f>'IMSS MESUAL'!X52+('IMSS BIM'!O52/2)</f>
        <v>90.234999999999999</v>
      </c>
      <c r="AB50" s="2">
        <v>0</v>
      </c>
      <c r="AC50" s="2">
        <v>0</v>
      </c>
      <c r="AD50" s="23">
        <f t="shared" ca="1" si="7"/>
        <v>3670.4249199999999</v>
      </c>
    </row>
    <row r="51" spans="1:32" x14ac:dyDescent="0.25">
      <c r="A51">
        <v>587</v>
      </c>
      <c r="B51" t="s">
        <v>300</v>
      </c>
      <c r="C51" s="119">
        <v>39129737803</v>
      </c>
      <c r="D51" t="s">
        <v>302</v>
      </c>
      <c r="E51" t="s">
        <v>303</v>
      </c>
      <c r="F51" s="87" t="str">
        <f>VLOOKUP($G51,TABLAS!$P$28:$R$43,3)</f>
        <v>SSJ</v>
      </c>
      <c r="G51" s="103">
        <v>1</v>
      </c>
      <c r="H51" s="8">
        <v>43580</v>
      </c>
      <c r="I51">
        <v>123.5</v>
      </c>
      <c r="L51">
        <f ca="1">VLOOKUP($C$3,TABLAS!$A$2:$B$13,2,0)</f>
        <v>29</v>
      </c>
      <c r="M51" s="123">
        <v>0</v>
      </c>
      <c r="N51" s="123">
        <v>0</v>
      </c>
      <c r="O51" s="123">
        <v>0</v>
      </c>
      <c r="P51">
        <f t="shared" ca="1" si="2"/>
        <v>29</v>
      </c>
      <c r="Q51" s="22">
        <f t="shared" ca="1" si="3"/>
        <v>3581.5</v>
      </c>
      <c r="R51" s="21">
        <f ca="1">VLOOKUP($Q51,TARIFAS!$U$7:$X$18,1)</f>
        <v>578.53</v>
      </c>
      <c r="S51" s="24">
        <f t="shared" ca="1" si="4"/>
        <v>3002.9700000000003</v>
      </c>
      <c r="T51" s="21">
        <f ca="1">VLOOKUP($Q51,TARIFAS!$U$7:$X$18,4)%</f>
        <v>6.4000000000000001E-2</v>
      </c>
      <c r="U51" s="24">
        <f t="shared" ca="1" si="5"/>
        <v>192.19008000000002</v>
      </c>
      <c r="V51">
        <f ca="1">VLOOKUP($Q51,TARIFAS!$U$7:$X$18,3)</f>
        <v>11.11</v>
      </c>
      <c r="W51" s="3">
        <f t="shared" ca="1" si="6"/>
        <v>203.30008000000004</v>
      </c>
      <c r="X51" s="21">
        <f ca="1">VLOOKUP($Q51,TARIFAS!$U$24:$W$34,3)</f>
        <v>382.46</v>
      </c>
      <c r="Y51" s="86">
        <f t="shared" ca="1" si="9"/>
        <v>3760.6599200000001</v>
      </c>
      <c r="Z51" s="101">
        <f t="shared" si="8"/>
        <v>0</v>
      </c>
      <c r="AA51" s="2">
        <f>'IMSS MESUAL'!X53+('IMSS BIM'!O53/2)</f>
        <v>90.234999999999999</v>
      </c>
      <c r="AB51" s="2">
        <v>0</v>
      </c>
      <c r="AC51" s="2">
        <v>0</v>
      </c>
      <c r="AD51" s="23">
        <f t="shared" ca="1" si="7"/>
        <v>3670.4249199999999</v>
      </c>
    </row>
    <row r="52" spans="1:32" x14ac:dyDescent="0.25">
      <c r="A52">
        <v>590</v>
      </c>
      <c r="B52" t="s">
        <v>305</v>
      </c>
      <c r="C52" s="119">
        <v>12130135168</v>
      </c>
      <c r="D52" t="s">
        <v>307</v>
      </c>
      <c r="E52" t="s">
        <v>308</v>
      </c>
      <c r="F52" s="87" t="str">
        <f>VLOOKUP($G52,TABLAS!$P$28:$R$43,3)</f>
        <v>SAJ</v>
      </c>
      <c r="G52" s="102">
        <v>3</v>
      </c>
      <c r="H52" s="8">
        <v>43592</v>
      </c>
      <c r="I52">
        <v>123.5</v>
      </c>
      <c r="L52">
        <f ca="1">VLOOKUP($C$3,TABLAS!$A$2:$B$13,2,0)</f>
        <v>29</v>
      </c>
      <c r="M52" s="123">
        <v>0</v>
      </c>
      <c r="N52" s="123">
        <v>0</v>
      </c>
      <c r="O52" s="123">
        <v>0</v>
      </c>
      <c r="P52">
        <f t="shared" ca="1" si="2"/>
        <v>29</v>
      </c>
      <c r="Q52" s="22">
        <f t="shared" ca="1" si="3"/>
        <v>3581.5</v>
      </c>
      <c r="R52" s="21">
        <f ca="1">VLOOKUP($Q52,TARIFAS!$U$7:$X$18,1)</f>
        <v>578.53</v>
      </c>
      <c r="S52" s="24">
        <f t="shared" ca="1" si="4"/>
        <v>3002.9700000000003</v>
      </c>
      <c r="T52" s="21">
        <f ca="1">VLOOKUP($Q52,TARIFAS!$U$7:$X$18,4)%</f>
        <v>6.4000000000000001E-2</v>
      </c>
      <c r="U52" s="24">
        <f t="shared" ca="1" si="5"/>
        <v>192.19008000000002</v>
      </c>
      <c r="V52">
        <f ca="1">VLOOKUP($Q52,TARIFAS!$U$7:$X$18,3)</f>
        <v>11.11</v>
      </c>
      <c r="W52" s="3">
        <f t="shared" ca="1" si="6"/>
        <v>203.30008000000004</v>
      </c>
      <c r="X52" s="21">
        <f ca="1">VLOOKUP($Q52,TARIFAS!$U$24:$W$34,3)</f>
        <v>382.46</v>
      </c>
      <c r="Y52" s="86">
        <f t="shared" ca="1" si="9"/>
        <v>3760.6599200000001</v>
      </c>
      <c r="Z52" s="101">
        <f t="shared" si="8"/>
        <v>0</v>
      </c>
      <c r="AA52" s="2">
        <f>'IMSS MESUAL'!X54+('IMSS BIM'!O54/2)</f>
        <v>90.234999999999999</v>
      </c>
      <c r="AB52" s="2">
        <v>0</v>
      </c>
      <c r="AC52" s="2">
        <v>0</v>
      </c>
      <c r="AD52" s="23">
        <f t="shared" ca="1" si="7"/>
        <v>3670.4249199999999</v>
      </c>
    </row>
    <row r="53" spans="1:32" x14ac:dyDescent="0.25">
      <c r="A53">
        <v>600</v>
      </c>
      <c r="B53" t="s">
        <v>310</v>
      </c>
      <c r="C53" s="119">
        <v>39139404220</v>
      </c>
      <c r="D53" t="s">
        <v>312</v>
      </c>
      <c r="E53" t="s">
        <v>313</v>
      </c>
      <c r="F53" s="87" t="str">
        <f>VLOOKUP($G53,TABLAS!$P$28:$R$43,3)</f>
        <v>SSJ</v>
      </c>
      <c r="G53" s="103">
        <v>1</v>
      </c>
      <c r="H53" s="8">
        <v>43624</v>
      </c>
      <c r="I53">
        <v>123.5</v>
      </c>
      <c r="L53">
        <f ca="1">VLOOKUP($C$3,TABLAS!$A$2:$B$13,2,0)</f>
        <v>29</v>
      </c>
      <c r="M53" s="123">
        <v>0</v>
      </c>
      <c r="N53" s="123">
        <v>0</v>
      </c>
      <c r="O53" s="123">
        <v>0</v>
      </c>
      <c r="P53">
        <f t="shared" ca="1" si="2"/>
        <v>29</v>
      </c>
      <c r="Q53" s="22">
        <f t="shared" ca="1" si="3"/>
        <v>3581.5</v>
      </c>
      <c r="R53" s="21">
        <f ca="1">VLOOKUP($Q53,TARIFAS!$U$7:$X$18,1)</f>
        <v>578.53</v>
      </c>
      <c r="S53" s="24">
        <f t="shared" ca="1" si="4"/>
        <v>3002.9700000000003</v>
      </c>
      <c r="T53" s="21">
        <f ca="1">VLOOKUP($Q53,TARIFAS!$U$7:$X$18,4)%</f>
        <v>6.4000000000000001E-2</v>
      </c>
      <c r="U53" s="24">
        <f t="shared" ca="1" si="5"/>
        <v>192.19008000000002</v>
      </c>
      <c r="V53">
        <f ca="1">VLOOKUP($Q53,TARIFAS!$U$7:$X$18,3)</f>
        <v>11.11</v>
      </c>
      <c r="W53" s="3">
        <f t="shared" ca="1" si="6"/>
        <v>203.30008000000004</v>
      </c>
      <c r="X53" s="21">
        <f ca="1">VLOOKUP($Q53,TARIFAS!$U$24:$W$34,3)</f>
        <v>382.46</v>
      </c>
      <c r="Y53" s="86">
        <f t="shared" ca="1" si="9"/>
        <v>3760.6599200000001</v>
      </c>
      <c r="Z53" s="101">
        <f t="shared" si="8"/>
        <v>0</v>
      </c>
      <c r="AA53" s="2">
        <f>'IMSS MESUAL'!X55+('IMSS BIM'!O55/2)</f>
        <v>90.234999999999999</v>
      </c>
      <c r="AB53" s="2">
        <v>0</v>
      </c>
      <c r="AC53" s="2">
        <v>0</v>
      </c>
      <c r="AD53" s="23">
        <f t="shared" ca="1" si="7"/>
        <v>3670.4249199999999</v>
      </c>
    </row>
    <row r="54" spans="1:32" x14ac:dyDescent="0.25">
      <c r="A54">
        <v>602</v>
      </c>
      <c r="B54" t="s">
        <v>315</v>
      </c>
      <c r="C54" s="119">
        <v>2179526492</v>
      </c>
      <c r="D54" t="s">
        <v>317</v>
      </c>
      <c r="E54" t="s">
        <v>318</v>
      </c>
      <c r="F54" s="87" t="str">
        <f>VLOOKUP($G54,TABLAS!$P$28:$R$43,3)</f>
        <v>SPD</v>
      </c>
      <c r="G54" s="102">
        <v>2</v>
      </c>
      <c r="H54" s="8">
        <v>43647</v>
      </c>
      <c r="I54">
        <v>123.5</v>
      </c>
      <c r="L54">
        <f ca="1">VLOOKUP($C$3,TABLAS!$A$2:$B$13,2,0)</f>
        <v>29</v>
      </c>
      <c r="M54" s="123">
        <v>0</v>
      </c>
      <c r="N54" s="123">
        <v>0</v>
      </c>
      <c r="O54" s="123">
        <v>0</v>
      </c>
      <c r="P54">
        <f t="shared" ca="1" si="2"/>
        <v>29</v>
      </c>
      <c r="Q54" s="22">
        <f t="shared" ca="1" si="3"/>
        <v>3581.5</v>
      </c>
      <c r="R54" s="21">
        <f ca="1">VLOOKUP($Q54,TARIFAS!$U$7:$X$18,1)</f>
        <v>578.53</v>
      </c>
      <c r="S54" s="24">
        <f t="shared" ca="1" si="4"/>
        <v>3002.9700000000003</v>
      </c>
      <c r="T54" s="21">
        <f ca="1">VLOOKUP($Q54,TARIFAS!$U$7:$X$18,4)%</f>
        <v>6.4000000000000001E-2</v>
      </c>
      <c r="U54" s="24">
        <f t="shared" ca="1" si="5"/>
        <v>192.19008000000002</v>
      </c>
      <c r="V54">
        <f ca="1">VLOOKUP($Q54,TARIFAS!$U$7:$X$18,3)</f>
        <v>11.11</v>
      </c>
      <c r="W54" s="3">
        <f t="shared" ca="1" si="6"/>
        <v>203.30008000000004</v>
      </c>
      <c r="X54" s="21">
        <f ca="1">VLOOKUP($Q54,TARIFAS!$U$24:$W$34,3)</f>
        <v>382.46</v>
      </c>
      <c r="Y54" s="86">
        <f t="shared" ca="1" si="9"/>
        <v>3760.6599200000001</v>
      </c>
      <c r="Z54" s="101">
        <f t="shared" si="8"/>
        <v>0</v>
      </c>
      <c r="AA54" s="2">
        <f>'IMSS MESUAL'!X56+('IMSS BIM'!O56/2)</f>
        <v>90.234999999999999</v>
      </c>
      <c r="AB54" s="2">
        <v>0</v>
      </c>
      <c r="AC54" s="2">
        <v>0</v>
      </c>
      <c r="AD54" s="23">
        <f t="shared" ca="1" si="7"/>
        <v>3670.4249199999999</v>
      </c>
    </row>
    <row r="55" spans="1:32" x14ac:dyDescent="0.25">
      <c r="A55">
        <v>604</v>
      </c>
      <c r="B55" t="s">
        <v>320</v>
      </c>
      <c r="C55" s="119">
        <v>39078703145</v>
      </c>
      <c r="D55" t="s">
        <v>322</v>
      </c>
      <c r="E55" t="s">
        <v>323</v>
      </c>
      <c r="F55" s="87" t="str">
        <f>VLOOKUP($G55,TABLAS!$P$28:$R$43,3)</f>
        <v>ACF</v>
      </c>
      <c r="G55" s="103">
        <v>12</v>
      </c>
      <c r="H55" s="8">
        <v>43652</v>
      </c>
      <c r="I55">
        <v>123.5</v>
      </c>
      <c r="L55">
        <f ca="1">VLOOKUP($C$3,TABLAS!$A$2:$B$13,2,0)</f>
        <v>29</v>
      </c>
      <c r="M55" s="123">
        <v>0</v>
      </c>
      <c r="N55" s="123">
        <v>0</v>
      </c>
      <c r="O55" s="123">
        <v>0</v>
      </c>
      <c r="P55">
        <f t="shared" ca="1" si="2"/>
        <v>29</v>
      </c>
      <c r="Q55" s="22">
        <f t="shared" ca="1" si="3"/>
        <v>3581.5</v>
      </c>
      <c r="R55" s="21">
        <f ca="1">VLOOKUP($Q55,TARIFAS!$U$7:$X$18,1)</f>
        <v>578.53</v>
      </c>
      <c r="S55" s="24">
        <f t="shared" ca="1" si="4"/>
        <v>3002.9700000000003</v>
      </c>
      <c r="T55" s="21">
        <f ca="1">VLOOKUP($Q55,TARIFAS!$U$7:$X$18,4)%</f>
        <v>6.4000000000000001E-2</v>
      </c>
      <c r="U55" s="24">
        <f t="shared" ca="1" si="5"/>
        <v>192.19008000000002</v>
      </c>
      <c r="V55">
        <f ca="1">VLOOKUP($Q55,TARIFAS!$U$7:$X$18,3)</f>
        <v>11.11</v>
      </c>
      <c r="W55" s="3">
        <f t="shared" ca="1" si="6"/>
        <v>203.30008000000004</v>
      </c>
      <c r="X55" s="21">
        <f ca="1">VLOOKUP($Q55,TARIFAS!$U$24:$W$34,3)</f>
        <v>382.46</v>
      </c>
      <c r="Y55" s="86">
        <f t="shared" ca="1" si="9"/>
        <v>3760.6599200000001</v>
      </c>
      <c r="Z55" s="101">
        <f t="shared" si="8"/>
        <v>0</v>
      </c>
      <c r="AA55" s="2">
        <f>'IMSS MESUAL'!X57+('IMSS BIM'!O57/2)</f>
        <v>90.234999999999999</v>
      </c>
      <c r="AB55" s="2">
        <v>0</v>
      </c>
      <c r="AC55" s="2">
        <v>0</v>
      </c>
      <c r="AD55" s="23">
        <f t="shared" ca="1" si="7"/>
        <v>3670.4249199999999</v>
      </c>
    </row>
    <row r="56" spans="1:32" x14ac:dyDescent="0.25">
      <c r="A56">
        <v>605</v>
      </c>
      <c r="B56" t="s">
        <v>325</v>
      </c>
      <c r="C56" s="119">
        <v>39109318376</v>
      </c>
      <c r="D56" t="s">
        <v>327</v>
      </c>
      <c r="E56" t="s">
        <v>328</v>
      </c>
      <c r="F56" s="87" t="str">
        <f>VLOOKUP($G56,TABLAS!$P$28:$R$43,3)</f>
        <v>SPD</v>
      </c>
      <c r="G56" s="102">
        <v>2</v>
      </c>
      <c r="H56" s="8">
        <v>43733</v>
      </c>
      <c r="I56">
        <v>123.5</v>
      </c>
      <c r="L56">
        <f ca="1">VLOOKUP($C$3,TABLAS!$A$2:$B$13,2,0)</f>
        <v>29</v>
      </c>
      <c r="M56" s="123">
        <v>0</v>
      </c>
      <c r="N56" s="123">
        <v>0</v>
      </c>
      <c r="O56" s="123">
        <v>0</v>
      </c>
      <c r="P56">
        <f t="shared" ca="1" si="2"/>
        <v>29</v>
      </c>
      <c r="Q56" s="22">
        <f t="shared" ca="1" si="3"/>
        <v>3581.5</v>
      </c>
      <c r="R56" s="21">
        <f ca="1">VLOOKUP($Q56,TARIFAS!$U$7:$X$18,1)</f>
        <v>578.53</v>
      </c>
      <c r="S56" s="24">
        <f t="shared" ca="1" si="4"/>
        <v>3002.9700000000003</v>
      </c>
      <c r="T56" s="21">
        <f ca="1">VLOOKUP($Q56,TARIFAS!$U$7:$X$18,4)%</f>
        <v>6.4000000000000001E-2</v>
      </c>
      <c r="U56" s="24">
        <f t="shared" ca="1" si="5"/>
        <v>192.19008000000002</v>
      </c>
      <c r="V56">
        <f ca="1">VLOOKUP($Q56,TARIFAS!$U$7:$X$18,3)</f>
        <v>11.11</v>
      </c>
      <c r="W56" s="3">
        <f t="shared" ca="1" si="6"/>
        <v>203.30008000000004</v>
      </c>
      <c r="X56" s="21">
        <f ca="1">VLOOKUP($Q56,TARIFAS!$U$24:$W$34,3)</f>
        <v>382.46</v>
      </c>
      <c r="Y56" s="86">
        <f t="shared" ca="1" si="9"/>
        <v>3760.6599200000001</v>
      </c>
      <c r="Z56" s="101">
        <f t="shared" si="8"/>
        <v>0</v>
      </c>
      <c r="AA56" s="2">
        <f>'IMSS MESUAL'!X58+('IMSS BIM'!O58/2)</f>
        <v>90.234999999999999</v>
      </c>
      <c r="AB56" s="2">
        <v>0</v>
      </c>
      <c r="AC56" s="2">
        <v>0</v>
      </c>
      <c r="AD56" s="23">
        <f t="shared" ca="1" si="7"/>
        <v>3670.4249199999999</v>
      </c>
    </row>
    <row r="57" spans="1:32" x14ac:dyDescent="0.25">
      <c r="A57">
        <v>607</v>
      </c>
      <c r="B57" t="s">
        <v>330</v>
      </c>
      <c r="C57" s="119">
        <v>42109106403</v>
      </c>
      <c r="D57" t="s">
        <v>332</v>
      </c>
      <c r="E57" t="s">
        <v>333</v>
      </c>
      <c r="F57" s="87" t="str">
        <f>VLOOKUP($G57,TABLAS!$P$28:$R$43,3)</f>
        <v>SAJ</v>
      </c>
      <c r="G57" s="103">
        <v>3</v>
      </c>
      <c r="H57" s="8">
        <v>43739</v>
      </c>
      <c r="I57">
        <v>123.5</v>
      </c>
      <c r="L57">
        <f ca="1">VLOOKUP($C$3,TABLAS!$A$2:$B$13,2,0)</f>
        <v>29</v>
      </c>
      <c r="M57" s="123">
        <v>0</v>
      </c>
      <c r="N57" s="123">
        <v>0</v>
      </c>
      <c r="O57" s="123">
        <v>0</v>
      </c>
      <c r="P57">
        <f t="shared" ca="1" si="2"/>
        <v>29</v>
      </c>
      <c r="Q57" s="22">
        <f t="shared" ca="1" si="3"/>
        <v>3581.5</v>
      </c>
      <c r="R57" s="21">
        <f ca="1">VLOOKUP($Q57,TARIFAS!$U$7:$X$18,1)</f>
        <v>578.53</v>
      </c>
      <c r="S57" s="24">
        <f t="shared" ca="1" si="4"/>
        <v>3002.9700000000003</v>
      </c>
      <c r="T57" s="21">
        <f ca="1">VLOOKUP($Q57,TARIFAS!$U$7:$X$18,4)%</f>
        <v>6.4000000000000001E-2</v>
      </c>
      <c r="U57" s="24">
        <f t="shared" ca="1" si="5"/>
        <v>192.19008000000002</v>
      </c>
      <c r="V57">
        <f ca="1">VLOOKUP($Q57,TARIFAS!$U$7:$X$18,3)</f>
        <v>11.11</v>
      </c>
      <c r="W57" s="3">
        <f t="shared" ca="1" si="6"/>
        <v>203.30008000000004</v>
      </c>
      <c r="X57" s="21">
        <f ca="1">VLOOKUP($Q57,TARIFAS!$U$24:$W$34,3)</f>
        <v>382.46</v>
      </c>
      <c r="Y57" s="86">
        <f t="shared" ca="1" si="9"/>
        <v>3760.6599200000001</v>
      </c>
      <c r="Z57" s="101">
        <f t="shared" si="8"/>
        <v>0</v>
      </c>
      <c r="AA57" s="2">
        <f>'IMSS MESUAL'!X59+('IMSS BIM'!O59/2)</f>
        <v>90.234999999999999</v>
      </c>
      <c r="AB57" s="2">
        <v>0</v>
      </c>
      <c r="AC57" s="2">
        <v>0</v>
      </c>
      <c r="AD57" s="23">
        <f t="shared" ca="1" si="7"/>
        <v>3670.4249199999999</v>
      </c>
    </row>
    <row r="58" spans="1:32" x14ac:dyDescent="0.25">
      <c r="A58">
        <v>609</v>
      </c>
      <c r="B58" t="s">
        <v>549</v>
      </c>
      <c r="C58" s="119">
        <v>39149940114</v>
      </c>
      <c r="D58" t="s">
        <v>337</v>
      </c>
      <c r="E58" t="s">
        <v>338</v>
      </c>
      <c r="F58" s="87" t="str">
        <f>VLOOKUP($G58,TABLAS!$P$28:$R$43,3)</f>
        <v>SPD</v>
      </c>
      <c r="G58" s="102">
        <v>2</v>
      </c>
      <c r="H58" s="8">
        <v>43754</v>
      </c>
      <c r="I58">
        <v>123.5</v>
      </c>
      <c r="L58">
        <f ca="1">VLOOKUP($C$3,TABLAS!$A$2:$B$13,2,0)</f>
        <v>29</v>
      </c>
      <c r="M58" s="123">
        <v>0</v>
      </c>
      <c r="N58" s="123">
        <v>0</v>
      </c>
      <c r="O58" s="123">
        <v>0</v>
      </c>
      <c r="P58">
        <f t="shared" ca="1" si="2"/>
        <v>29</v>
      </c>
      <c r="Q58" s="22">
        <f t="shared" ca="1" si="3"/>
        <v>3581.5</v>
      </c>
      <c r="R58" s="21">
        <f ca="1">VLOOKUP($Q58,TARIFAS!$U$7:$X$18,1)</f>
        <v>578.53</v>
      </c>
      <c r="S58" s="24">
        <f t="shared" ca="1" si="4"/>
        <v>3002.9700000000003</v>
      </c>
      <c r="T58" s="21">
        <f ca="1">VLOOKUP($Q58,TARIFAS!$U$7:$X$18,4)%</f>
        <v>6.4000000000000001E-2</v>
      </c>
      <c r="U58" s="24">
        <f t="shared" ca="1" si="5"/>
        <v>192.19008000000002</v>
      </c>
      <c r="V58">
        <f ca="1">VLOOKUP($Q58,TARIFAS!$U$7:$X$18,3)</f>
        <v>11.11</v>
      </c>
      <c r="W58" s="3">
        <f t="shared" ca="1" si="6"/>
        <v>203.30008000000004</v>
      </c>
      <c r="X58" s="21">
        <f ca="1">VLOOKUP($Q58,TARIFAS!$U$24:$W$34,3)</f>
        <v>382.46</v>
      </c>
      <c r="Y58" s="86">
        <f t="shared" ca="1" si="9"/>
        <v>3760.6599200000001</v>
      </c>
      <c r="Z58" s="101">
        <f t="shared" si="8"/>
        <v>0</v>
      </c>
      <c r="AA58" s="2">
        <f>'IMSS MESUAL'!X60+('IMSS BIM'!O60/2)</f>
        <v>90.234999999999999</v>
      </c>
      <c r="AB58" s="2">
        <v>0</v>
      </c>
      <c r="AC58" s="2">
        <v>0</v>
      </c>
      <c r="AD58" s="23">
        <f t="shared" ca="1" si="7"/>
        <v>3670.4249199999999</v>
      </c>
    </row>
    <row r="59" spans="1:32" x14ac:dyDescent="0.25">
      <c r="A59">
        <v>610</v>
      </c>
      <c r="B59" t="s">
        <v>490</v>
      </c>
      <c r="C59" s="119">
        <v>62169917671</v>
      </c>
      <c r="D59" t="s">
        <v>492</v>
      </c>
      <c r="E59" t="s">
        <v>493</v>
      </c>
      <c r="F59" s="87" t="str">
        <f>VLOOKUP($G59,TABLAS!$P$28:$R$43,3)</f>
        <v>SPC</v>
      </c>
      <c r="G59" s="103">
        <v>4</v>
      </c>
      <c r="H59" s="8">
        <v>43800</v>
      </c>
      <c r="I59">
        <v>123.5</v>
      </c>
      <c r="L59">
        <f ca="1">VLOOKUP($C$3,TABLAS!$A$2:$B$13,2,0)</f>
        <v>29</v>
      </c>
      <c r="M59" s="123">
        <v>0</v>
      </c>
      <c r="N59" s="123">
        <v>0</v>
      </c>
      <c r="O59" s="123">
        <v>0</v>
      </c>
      <c r="P59">
        <f t="shared" ca="1" si="2"/>
        <v>29</v>
      </c>
      <c r="Q59" s="22">
        <f t="shared" ca="1" si="3"/>
        <v>3581.5</v>
      </c>
      <c r="R59" s="21">
        <f ca="1">VLOOKUP($Q59,TARIFAS!$U$7:$X$18,1)</f>
        <v>578.53</v>
      </c>
      <c r="S59" s="24">
        <f t="shared" ca="1" si="4"/>
        <v>3002.9700000000003</v>
      </c>
      <c r="T59" s="21">
        <f ca="1">VLOOKUP($Q59,TARIFAS!$U$7:$X$18,4)%</f>
        <v>6.4000000000000001E-2</v>
      </c>
      <c r="U59" s="24">
        <f t="shared" ca="1" si="5"/>
        <v>192.19008000000002</v>
      </c>
      <c r="V59">
        <f ca="1">VLOOKUP($Q59,TARIFAS!$U$7:$X$18,3)</f>
        <v>11.11</v>
      </c>
      <c r="W59" s="3">
        <f t="shared" ca="1" si="6"/>
        <v>203.30008000000004</v>
      </c>
      <c r="X59" s="21">
        <f ca="1">VLOOKUP($Q59,TARIFAS!$U$24:$W$34,3)</f>
        <v>382.46</v>
      </c>
      <c r="Y59" s="86">
        <f t="shared" ca="1" si="9"/>
        <v>3760.6599200000001</v>
      </c>
      <c r="Z59" s="101">
        <f t="shared" si="8"/>
        <v>0</v>
      </c>
      <c r="AA59" s="2">
        <f>'IMSS MESUAL'!X61+('IMSS BIM'!O61/2)</f>
        <v>90.234999999999999</v>
      </c>
      <c r="AB59" s="2">
        <v>0</v>
      </c>
      <c r="AC59" s="2">
        <v>0</v>
      </c>
      <c r="AD59" s="23">
        <f t="shared" ca="1" si="7"/>
        <v>3670.4249199999999</v>
      </c>
    </row>
    <row r="60" spans="1:32" x14ac:dyDescent="0.25">
      <c r="A60">
        <v>611</v>
      </c>
      <c r="B60" t="s">
        <v>495</v>
      </c>
      <c r="C60" s="119">
        <v>39047500283</v>
      </c>
      <c r="D60" t="s">
        <v>497</v>
      </c>
      <c r="E60" t="s">
        <v>498</v>
      </c>
      <c r="F60" s="87" t="str">
        <f>VLOOKUP($G60,TABLAS!$P$28:$R$43,3)</f>
        <v>SSF</v>
      </c>
      <c r="G60" s="102">
        <v>6</v>
      </c>
      <c r="H60" s="8">
        <v>43800</v>
      </c>
      <c r="I60">
        <v>123.5</v>
      </c>
      <c r="L60">
        <f ca="1">VLOOKUP($C$3,TABLAS!$A$2:$B$13,2,0)</f>
        <v>29</v>
      </c>
      <c r="M60" s="123">
        <v>0</v>
      </c>
      <c r="N60" s="123">
        <v>0</v>
      </c>
      <c r="O60" s="123">
        <v>0</v>
      </c>
      <c r="P60">
        <f t="shared" ca="1" si="2"/>
        <v>29</v>
      </c>
      <c r="Q60" s="22">
        <f t="shared" ca="1" si="3"/>
        <v>3581.5</v>
      </c>
      <c r="R60" s="21">
        <f ca="1">VLOOKUP($Q60,TARIFAS!$U$7:$X$18,1)</f>
        <v>578.53</v>
      </c>
      <c r="S60" s="24">
        <f t="shared" ca="1" si="4"/>
        <v>3002.9700000000003</v>
      </c>
      <c r="T60" s="21">
        <f ca="1">VLOOKUP($Q60,TARIFAS!$U$7:$X$18,4)%</f>
        <v>6.4000000000000001E-2</v>
      </c>
      <c r="U60" s="24">
        <f t="shared" ca="1" si="5"/>
        <v>192.19008000000002</v>
      </c>
      <c r="V60">
        <f ca="1">VLOOKUP($Q60,TARIFAS!$U$7:$X$18,3)</f>
        <v>11.11</v>
      </c>
      <c r="W60" s="3">
        <f t="shared" ca="1" si="6"/>
        <v>203.30008000000004</v>
      </c>
      <c r="X60" s="21">
        <f ca="1">VLOOKUP($Q60,TARIFAS!$U$24:$W$34,3)</f>
        <v>382.46</v>
      </c>
      <c r="Y60" s="86">
        <f t="shared" ca="1" si="9"/>
        <v>3760.6599200000001</v>
      </c>
      <c r="Z60" s="101">
        <f t="shared" si="8"/>
        <v>0</v>
      </c>
      <c r="AA60" s="2">
        <f>'IMSS MESUAL'!X62+('IMSS BIM'!O62/2)</f>
        <v>90.234999999999999</v>
      </c>
      <c r="AB60" s="2">
        <v>0</v>
      </c>
      <c r="AC60" s="2">
        <v>0</v>
      </c>
      <c r="AD60" s="23">
        <f t="shared" ca="1" si="7"/>
        <v>3670.4249199999999</v>
      </c>
      <c r="AE60" s="3"/>
      <c r="AF60" s="3"/>
    </row>
    <row r="61" spans="1:32" x14ac:dyDescent="0.25">
      <c r="L61">
        <f ca="1">VLOOKUP($C$3,TABLAS!$A$2:$B$13,2,0)</f>
        <v>29</v>
      </c>
      <c r="P61">
        <f t="shared" ca="1" si="2"/>
        <v>29</v>
      </c>
      <c r="Q61" s="22">
        <f t="shared" ca="1" si="3"/>
        <v>0</v>
      </c>
      <c r="AB61" s="2">
        <v>0</v>
      </c>
      <c r="AC61" s="2">
        <v>0</v>
      </c>
      <c r="AD61" s="23">
        <f t="shared" ref="AD61:AD70" si="10">Y61-AA61+AB61-AC61</f>
        <v>0</v>
      </c>
    </row>
    <row r="62" spans="1:32" x14ac:dyDescent="0.25">
      <c r="L62">
        <f ca="1">VLOOKUP($C$3,TABLAS!$A$2:$B$13,2,0)</f>
        <v>29</v>
      </c>
      <c r="P62">
        <f t="shared" ca="1" si="2"/>
        <v>29</v>
      </c>
      <c r="Q62" s="22">
        <f t="shared" ca="1" si="3"/>
        <v>0</v>
      </c>
      <c r="AB62" s="2">
        <v>0</v>
      </c>
      <c r="AC62" s="2">
        <v>0</v>
      </c>
      <c r="AD62" s="23">
        <f t="shared" si="10"/>
        <v>0</v>
      </c>
    </row>
    <row r="63" spans="1:32" x14ac:dyDescent="0.25">
      <c r="L63">
        <f ca="1">VLOOKUP($C$3,TABLAS!$A$2:$B$13,2,0)</f>
        <v>29</v>
      </c>
      <c r="P63">
        <f t="shared" ca="1" si="2"/>
        <v>29</v>
      </c>
      <c r="Q63" s="22">
        <f t="shared" ca="1" si="3"/>
        <v>0</v>
      </c>
      <c r="AB63" s="2">
        <v>0</v>
      </c>
      <c r="AC63" s="2">
        <v>0</v>
      </c>
      <c r="AD63" s="23">
        <f t="shared" si="10"/>
        <v>0</v>
      </c>
    </row>
    <row r="64" spans="1:32" x14ac:dyDescent="0.25">
      <c r="L64">
        <f ca="1">VLOOKUP($C$3,TABLAS!$A$2:$B$13,2,0)</f>
        <v>29</v>
      </c>
      <c r="P64">
        <f t="shared" ca="1" si="2"/>
        <v>29</v>
      </c>
      <c r="Q64" s="22">
        <f t="shared" ca="1" si="3"/>
        <v>0</v>
      </c>
      <c r="AB64" s="2">
        <v>0</v>
      </c>
      <c r="AC64" s="2">
        <v>0</v>
      </c>
      <c r="AD64" s="23">
        <f t="shared" si="10"/>
        <v>0</v>
      </c>
    </row>
    <row r="65" spans="12:30" x14ac:dyDescent="0.25">
      <c r="L65">
        <f ca="1">VLOOKUP($C$3,TABLAS!$A$2:$B$13,2,0)</f>
        <v>29</v>
      </c>
      <c r="Q65" s="22">
        <f t="shared" ca="1" si="3"/>
        <v>0</v>
      </c>
      <c r="AB65" s="2">
        <v>0</v>
      </c>
      <c r="AC65" s="2">
        <v>0</v>
      </c>
      <c r="AD65" s="23">
        <f t="shared" si="10"/>
        <v>0</v>
      </c>
    </row>
    <row r="66" spans="12:30" x14ac:dyDescent="0.25">
      <c r="L66" t="e">
        <f>VLOOKUP(C63,TABLAS!$A$2:$B$13,2,0)</f>
        <v>#N/A</v>
      </c>
      <c r="Q66" s="22" t="e">
        <f t="shared" si="3"/>
        <v>#N/A</v>
      </c>
      <c r="AB66" s="2">
        <v>0</v>
      </c>
      <c r="AC66" s="2">
        <v>0</v>
      </c>
      <c r="AD66" s="23">
        <f t="shared" si="10"/>
        <v>0</v>
      </c>
    </row>
    <row r="67" spans="12:30" x14ac:dyDescent="0.25">
      <c r="L67" t="e">
        <f>VLOOKUP(C64,TABLAS!$A$2:$B$13,2,0)</f>
        <v>#N/A</v>
      </c>
      <c r="Q67" s="22" t="e">
        <f t="shared" si="3"/>
        <v>#N/A</v>
      </c>
      <c r="AB67" s="2">
        <v>0</v>
      </c>
      <c r="AC67" s="2">
        <v>0</v>
      </c>
      <c r="AD67" s="23">
        <f t="shared" si="10"/>
        <v>0</v>
      </c>
    </row>
    <row r="68" spans="12:30" x14ac:dyDescent="0.25">
      <c r="L68" t="e">
        <f>VLOOKUP(C65,TABLAS!$A$2:$B$13,2,0)</f>
        <v>#N/A</v>
      </c>
      <c r="Q68" s="22" t="e">
        <f t="shared" si="3"/>
        <v>#N/A</v>
      </c>
      <c r="AB68" s="2">
        <v>0</v>
      </c>
      <c r="AC68" s="2">
        <v>0</v>
      </c>
      <c r="AD68" s="23">
        <f t="shared" si="10"/>
        <v>0</v>
      </c>
    </row>
    <row r="69" spans="12:30" x14ac:dyDescent="0.25">
      <c r="L69" t="e">
        <f>VLOOKUP(C66,TABLAS!$A$2:$B$13,2,0)</f>
        <v>#N/A</v>
      </c>
      <c r="Q69" s="22" t="e">
        <f t="shared" si="3"/>
        <v>#N/A</v>
      </c>
      <c r="AB69" s="2">
        <v>0</v>
      </c>
      <c r="AC69" s="2">
        <v>0</v>
      </c>
      <c r="AD69" s="23">
        <f t="shared" si="10"/>
        <v>0</v>
      </c>
    </row>
    <row r="70" spans="12:30" x14ac:dyDescent="0.25">
      <c r="Q70" s="22">
        <f t="shared" si="3"/>
        <v>0</v>
      </c>
      <c r="AB70" s="2">
        <v>0</v>
      </c>
      <c r="AC70" s="2">
        <v>0</v>
      </c>
      <c r="AD70" s="23">
        <f t="shared" si="10"/>
        <v>0</v>
      </c>
    </row>
    <row r="71" spans="12:30" x14ac:dyDescent="0.25">
      <c r="Q71" s="22">
        <f t="shared" ref="Q71:Q78" si="11">I71*L71</f>
        <v>0</v>
      </c>
      <c r="AB71" s="2">
        <v>0</v>
      </c>
      <c r="AC71" s="2">
        <v>0</v>
      </c>
    </row>
    <row r="72" spans="12:30" x14ac:dyDescent="0.25">
      <c r="Q72" s="22">
        <f t="shared" si="11"/>
        <v>0</v>
      </c>
      <c r="AB72" s="2">
        <v>0</v>
      </c>
      <c r="AC72" s="2">
        <v>0</v>
      </c>
    </row>
    <row r="73" spans="12:30" x14ac:dyDescent="0.25">
      <c r="Q73" s="22">
        <f t="shared" si="11"/>
        <v>0</v>
      </c>
      <c r="AB73" s="2">
        <v>0</v>
      </c>
      <c r="AC73" s="2">
        <v>0</v>
      </c>
    </row>
    <row r="74" spans="12:30" x14ac:dyDescent="0.25">
      <c r="Q74" s="22">
        <f t="shared" si="11"/>
        <v>0</v>
      </c>
      <c r="AB74" s="2">
        <v>0</v>
      </c>
      <c r="AC74" s="2">
        <v>0</v>
      </c>
    </row>
    <row r="75" spans="12:30" x14ac:dyDescent="0.25">
      <c r="Q75" s="22">
        <f t="shared" si="11"/>
        <v>0</v>
      </c>
      <c r="AB75" s="2">
        <v>0</v>
      </c>
      <c r="AC75" s="2">
        <v>0</v>
      </c>
    </row>
    <row r="76" spans="12:30" x14ac:dyDescent="0.25">
      <c r="Q76" s="22">
        <f t="shared" si="11"/>
        <v>0</v>
      </c>
      <c r="AB76" s="2">
        <v>0</v>
      </c>
      <c r="AC76" s="2">
        <v>0</v>
      </c>
    </row>
    <row r="77" spans="12:30" x14ac:dyDescent="0.25">
      <c r="Q77" s="22">
        <f t="shared" si="11"/>
        <v>0</v>
      </c>
      <c r="AB77" s="2">
        <v>0</v>
      </c>
      <c r="AC77" s="2">
        <v>0</v>
      </c>
    </row>
    <row r="78" spans="12:30" x14ac:dyDescent="0.25">
      <c r="Q78" s="22">
        <f t="shared" si="11"/>
        <v>0</v>
      </c>
    </row>
  </sheetData>
  <phoneticPr fontId="0" type="noConversion"/>
  <pageMargins left="0.70866141732283472" right="0.70866141732283472" top="0.74803149606299213" bottom="0.74803149606299213" header="0.31496062992125984" footer="0.31496062992125984"/>
  <pageSetup scale="5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07B15-839C-421A-8194-4D5CAA738522}">
  <sheetPr codeName="Hoja10"/>
  <dimension ref="A1:J57"/>
  <sheetViews>
    <sheetView topLeftCell="B1" workbookViewId="0">
      <selection activeCell="I10" sqref="I10"/>
    </sheetView>
  </sheetViews>
  <sheetFormatPr baseColWidth="10" defaultRowHeight="15" x14ac:dyDescent="0.25"/>
  <cols>
    <col min="1" max="1" width="7" bestFit="1" customWidth="1"/>
    <col min="2" max="2" width="39.28515625" bestFit="1" customWidth="1"/>
    <col min="3" max="3" width="12" bestFit="1" customWidth="1"/>
    <col min="4" max="4" width="16.5703125" bestFit="1" customWidth="1"/>
    <col min="5" max="5" width="23.42578125" bestFit="1" customWidth="1"/>
    <col min="6" max="6" width="12.85546875" bestFit="1" customWidth="1"/>
    <col min="7" max="7" width="12.7109375" bestFit="1" customWidth="1"/>
    <col min="8" max="10" width="12.7109375" customWidth="1"/>
    <col min="11" max="11" width="20.85546875" bestFit="1" customWidth="1"/>
  </cols>
  <sheetData>
    <row r="1" spans="1:10" x14ac:dyDescent="0.25">
      <c r="J1" s="40" t="s">
        <v>506</v>
      </c>
    </row>
    <row r="2" spans="1:10" x14ac:dyDescent="0.25">
      <c r="A2" t="str">
        <f>'CALCULO Y BASE'!A5</f>
        <v>Clave</v>
      </c>
      <c r="B2" t="str">
        <f>'CALCULO Y BASE'!B5</f>
        <v>Nombre del trabajador</v>
      </c>
      <c r="C2" t="str">
        <f>'CALCULO Y BASE'!C5</f>
        <v>NSS</v>
      </c>
      <c r="D2" t="str">
        <f>'CALCULO Y BASE'!D5</f>
        <v>RFC</v>
      </c>
      <c r="E2" t="str">
        <f>'CALCULO Y BASE'!E5</f>
        <v>CURP</v>
      </c>
      <c r="F2" t="str">
        <f>'CALCULO Y BASE'!H5</f>
        <v>Fecha de Alta</v>
      </c>
      <c r="G2" t="str">
        <f>'CALCULO Y BASE'!I5</f>
        <v>Salario Diario</v>
      </c>
      <c r="I2" t="s">
        <v>505</v>
      </c>
    </row>
    <row r="3" spans="1:10" x14ac:dyDescent="0.25">
      <c r="A3" s="36">
        <f>'CALCULO Y BASE'!A6</f>
        <v>1</v>
      </c>
      <c r="B3" s="36" t="str">
        <f>'CALCULO Y BASE'!B6</f>
        <v>CESAR ABNER TRUJILLO ESTRADA</v>
      </c>
      <c r="C3" s="36">
        <f>'CALCULO Y BASE'!C6</f>
        <v>7078605396</v>
      </c>
      <c r="D3" s="36" t="str">
        <f>'CALCULO Y BASE'!D6</f>
        <v>TUEC8602065C1</v>
      </c>
      <c r="E3" s="36" t="str">
        <f>'CALCULO Y BASE'!E6</f>
        <v>TUEC860206HDFRSS03</v>
      </c>
      <c r="F3" s="88">
        <f>'CALCULO Y BASE'!H6</f>
        <v>41852</v>
      </c>
      <c r="G3" s="36">
        <f>'CALCULO Y BASE'!I6</f>
        <v>507.11</v>
      </c>
      <c r="H3" s="88">
        <f ca="1">TODAY()</f>
        <v>43885</v>
      </c>
      <c r="I3" s="90">
        <f ca="1">(H3-F3)/365</f>
        <v>5.5698630136986305</v>
      </c>
    </row>
    <row r="4" spans="1:10" x14ac:dyDescent="0.25">
      <c r="A4" s="36">
        <f>'CALCULO Y BASE'!A7</f>
        <v>3</v>
      </c>
      <c r="B4" s="36" t="str">
        <f>'CALCULO Y BASE'!B7</f>
        <v>JOSE ANTONIO ESTRADA ROMERO</v>
      </c>
      <c r="C4" s="36">
        <f>'CALCULO Y BASE'!C7</f>
        <v>11947307382</v>
      </c>
      <c r="D4" s="36" t="str">
        <f>'CALCULO Y BASE'!D7</f>
        <v>EARA730128KI5</v>
      </c>
      <c r="E4" s="36" t="str">
        <f>'CALCULO Y BASE'!E7</f>
        <v>EARA730128HDFSMN01</v>
      </c>
      <c r="F4" s="88">
        <f>'CALCULO Y BASE'!H7</f>
        <v>42370</v>
      </c>
      <c r="G4" s="36">
        <f>'CALCULO Y BASE'!I7</f>
        <v>328.53</v>
      </c>
      <c r="H4" s="88">
        <f t="shared" ref="H4:H57" ca="1" si="0">TODAY()</f>
        <v>43885</v>
      </c>
      <c r="I4" s="90">
        <f t="shared" ref="I4:I57" ca="1" si="1">(H4-F4)/365</f>
        <v>4.1506849315068495</v>
      </c>
    </row>
    <row r="5" spans="1:10" x14ac:dyDescent="0.25">
      <c r="A5" s="36">
        <f>'CALCULO Y BASE'!A8</f>
        <v>9</v>
      </c>
      <c r="B5" s="36" t="str">
        <f>'CALCULO Y BASE'!B8</f>
        <v>ERIC GUSTAVO ESTRADA ESTRADA</v>
      </c>
      <c r="C5" s="36">
        <f>'CALCULO Y BASE'!C8</f>
        <v>39028216297</v>
      </c>
      <c r="D5" s="36" t="str">
        <f>'CALCULO Y BASE'!D8</f>
        <v>EAEE82041878A</v>
      </c>
      <c r="E5" s="36" t="str">
        <f>'CALCULO Y BASE'!E8</f>
        <v>EAEE820418HDFSSR08</v>
      </c>
      <c r="F5" s="88">
        <f>'CALCULO Y BASE'!H8</f>
        <v>41852</v>
      </c>
      <c r="G5" s="36">
        <f>'CALCULO Y BASE'!I8</f>
        <v>273.89999999999998</v>
      </c>
      <c r="H5" s="88">
        <f t="shared" ca="1" si="0"/>
        <v>43885</v>
      </c>
      <c r="I5" s="90">
        <f t="shared" ca="1" si="1"/>
        <v>5.5698630136986305</v>
      </c>
    </row>
    <row r="6" spans="1:10" x14ac:dyDescent="0.25">
      <c r="A6" s="36">
        <f>'CALCULO Y BASE'!A9</f>
        <v>15</v>
      </c>
      <c r="B6" s="36" t="str">
        <f>'CALCULO Y BASE'!B9</f>
        <v>EVA SUSANA MANJARREZ CAMACHO</v>
      </c>
      <c r="C6" s="36">
        <f>'CALCULO Y BASE'!C9</f>
        <v>39957323668</v>
      </c>
      <c r="D6" s="36" t="str">
        <f>'CALCULO Y BASE'!D9</f>
        <v>MACE730427QP8</v>
      </c>
      <c r="E6" s="36" t="str">
        <f>'CALCULO Y BASE'!E9</f>
        <v>MACE730427MDFNMV02</v>
      </c>
      <c r="F6" s="88">
        <f>'CALCULO Y BASE'!H9</f>
        <v>41852</v>
      </c>
      <c r="G6" s="36">
        <f>'CALCULO Y BASE'!I9</f>
        <v>382.07</v>
      </c>
      <c r="H6" s="88">
        <f t="shared" ca="1" si="0"/>
        <v>43885</v>
      </c>
      <c r="I6" s="90">
        <f t="shared" ca="1" si="1"/>
        <v>5.5698630136986305</v>
      </c>
    </row>
    <row r="7" spans="1:10" x14ac:dyDescent="0.25">
      <c r="A7" s="36">
        <f>'CALCULO Y BASE'!A10</f>
        <v>23</v>
      </c>
      <c r="B7" s="36" t="str">
        <f>'CALCULO Y BASE'!B10</f>
        <v>JORGE ALFONSO TAPIA DOMINGUEZ</v>
      </c>
      <c r="C7" s="36">
        <f>'CALCULO Y BASE'!C10</f>
        <v>39098710864</v>
      </c>
      <c r="D7" s="36" t="str">
        <f>'CALCULO Y BASE'!D10</f>
        <v>TADJ8708041S4</v>
      </c>
      <c r="E7" s="36" t="str">
        <f>'CALCULO Y BASE'!E10</f>
        <v>TADJ870804HDFPMR01</v>
      </c>
      <c r="F7" s="88">
        <f>'CALCULO Y BASE'!H10</f>
        <v>41852</v>
      </c>
      <c r="G7" s="36">
        <f>'CALCULO Y BASE'!I10</f>
        <v>317.89999999999998</v>
      </c>
      <c r="H7" s="88">
        <f t="shared" ca="1" si="0"/>
        <v>43885</v>
      </c>
      <c r="I7" s="90">
        <f t="shared" ca="1" si="1"/>
        <v>5.5698630136986305</v>
      </c>
    </row>
    <row r="8" spans="1:10" x14ac:dyDescent="0.25">
      <c r="A8" s="36">
        <f>'CALCULO Y BASE'!A11</f>
        <v>28</v>
      </c>
      <c r="B8" s="36" t="str">
        <f>'CALCULO Y BASE'!B11</f>
        <v>GABRIEL ESTRADA PABELLO</v>
      </c>
      <c r="C8" s="36">
        <f>'CALCULO Y BASE'!C11</f>
        <v>11977941902</v>
      </c>
      <c r="D8" s="36" t="str">
        <f>'CALCULO Y BASE'!D11</f>
        <v>EAPG7905263L3</v>
      </c>
      <c r="E8" s="36" t="str">
        <f>'CALCULO Y BASE'!E11</f>
        <v>EAPG790526HDFSBB09</v>
      </c>
      <c r="F8" s="88">
        <f>'CALCULO Y BASE'!H11</f>
        <v>41852</v>
      </c>
      <c r="G8" s="36">
        <f>'CALCULO Y BASE'!I11</f>
        <v>382.07</v>
      </c>
      <c r="H8" s="88">
        <f t="shared" ca="1" si="0"/>
        <v>43885</v>
      </c>
      <c r="I8" s="90">
        <f t="shared" ca="1" si="1"/>
        <v>5.5698630136986305</v>
      </c>
    </row>
    <row r="9" spans="1:10" x14ac:dyDescent="0.25">
      <c r="A9" s="36">
        <f>'CALCULO Y BASE'!A12</f>
        <v>43</v>
      </c>
      <c r="B9" s="36" t="str">
        <f>'CALCULO Y BASE'!B12</f>
        <v>MARIA ANGELICA HERNANDEZ ROJAS</v>
      </c>
      <c r="C9" s="36">
        <f>'CALCULO Y BASE'!C12</f>
        <v>39937231387</v>
      </c>
      <c r="D9" s="36" t="str">
        <f>'CALCULO Y BASE'!D12</f>
        <v>HERA720223J87</v>
      </c>
      <c r="E9" s="36" t="str">
        <f>'CALCULO Y BASE'!E12</f>
        <v>HERA720223MDFRJN03</v>
      </c>
      <c r="F9" s="88">
        <f>'CALCULO Y BASE'!H12</f>
        <v>41852</v>
      </c>
      <c r="G9" s="36">
        <f>'CALCULO Y BASE'!I12</f>
        <v>215.24</v>
      </c>
      <c r="H9" s="88">
        <f t="shared" ca="1" si="0"/>
        <v>43885</v>
      </c>
      <c r="I9" s="90">
        <f t="shared" ca="1" si="1"/>
        <v>5.5698630136986305</v>
      </c>
    </row>
    <row r="10" spans="1:10" x14ac:dyDescent="0.25">
      <c r="A10" s="36">
        <f>'CALCULO Y BASE'!A13</f>
        <v>133</v>
      </c>
      <c r="B10" s="36" t="str">
        <f>'CALCULO Y BASE'!B13</f>
        <v>CESAR ROBERTO MEDINA ROMERO</v>
      </c>
      <c r="C10" s="36">
        <f>'CALCULO Y BASE'!C13</f>
        <v>1109306629</v>
      </c>
      <c r="D10" s="36" t="str">
        <f>'CALCULO Y BASE'!D13</f>
        <v>MERC930527V20</v>
      </c>
      <c r="E10" s="36" t="str">
        <f>'CALCULO Y BASE'!E13</f>
        <v>MERC930527HDFDMS08</v>
      </c>
      <c r="F10" s="88">
        <f>'CALCULO Y BASE'!H13</f>
        <v>41976</v>
      </c>
      <c r="G10" s="36">
        <f>'CALCULO Y BASE'!I13</f>
        <v>137</v>
      </c>
      <c r="H10" s="88">
        <f t="shared" ca="1" si="0"/>
        <v>43885</v>
      </c>
      <c r="I10" s="90">
        <f t="shared" ca="1" si="1"/>
        <v>5.2301369863013702</v>
      </c>
    </row>
    <row r="11" spans="1:10" x14ac:dyDescent="0.25">
      <c r="A11" s="36">
        <f>'CALCULO Y BASE'!A14</f>
        <v>157</v>
      </c>
      <c r="B11" s="36" t="str">
        <f>'CALCULO Y BASE'!B14</f>
        <v>ERIK RICARDO RAMIREZ SOTO</v>
      </c>
      <c r="C11" s="36">
        <f>'CALCULO Y BASE'!C14</f>
        <v>96088833718</v>
      </c>
      <c r="D11" s="36" t="str">
        <f>'CALCULO Y BASE'!D14</f>
        <v>RASE880911SK7</v>
      </c>
      <c r="E11" s="36" t="str">
        <f>'CALCULO Y BASE'!E14</f>
        <v>RASE880911HMCMTR28</v>
      </c>
      <c r="F11" s="88">
        <f>'CALCULO Y BASE'!H14</f>
        <v>42062</v>
      </c>
      <c r="G11" s="36">
        <f>'CALCULO Y BASE'!I14</f>
        <v>215.24</v>
      </c>
      <c r="H11" s="88">
        <f t="shared" ca="1" si="0"/>
        <v>43885</v>
      </c>
      <c r="I11" s="90">
        <f t="shared" ca="1" si="1"/>
        <v>4.9945205479452053</v>
      </c>
    </row>
    <row r="12" spans="1:10" x14ac:dyDescent="0.25">
      <c r="A12" s="36">
        <f>'CALCULO Y BASE'!A15</f>
        <v>181</v>
      </c>
      <c r="B12" s="36" t="str">
        <f>'CALCULO Y BASE'!B15</f>
        <v>VERONICA PLACIDO ESTRADA</v>
      </c>
      <c r="C12" s="36">
        <f>'CALCULO Y BASE'!C15</f>
        <v>7907002443</v>
      </c>
      <c r="D12" s="36" t="str">
        <f>'CALCULO Y BASE'!D15</f>
        <v>PAEV700726NB4</v>
      </c>
      <c r="E12" s="36" t="str">
        <f>'CALCULO Y BASE'!E15</f>
        <v>PAEV700726MDFLSR07</v>
      </c>
      <c r="F12" s="88">
        <f>'CALCULO Y BASE'!H15</f>
        <v>42188</v>
      </c>
      <c r="G12" s="36">
        <f>'CALCULO Y BASE'!I15</f>
        <v>123.5</v>
      </c>
      <c r="H12" s="88">
        <f t="shared" ca="1" si="0"/>
        <v>43885</v>
      </c>
      <c r="I12" s="90">
        <f t="shared" ca="1" si="1"/>
        <v>4.6493150684931503</v>
      </c>
    </row>
    <row r="13" spans="1:10" x14ac:dyDescent="0.25">
      <c r="A13" s="36">
        <f>'CALCULO Y BASE'!A16</f>
        <v>207</v>
      </c>
      <c r="B13" s="36" t="str">
        <f>'CALCULO Y BASE'!B16</f>
        <v>MARIA DEL ROCIO HERNANDEZ CHINOS</v>
      </c>
      <c r="C13" s="36">
        <f>'CALCULO Y BASE'!C16</f>
        <v>2157397924</v>
      </c>
      <c r="D13" s="36" t="str">
        <f>'CALCULO Y BASE'!D16</f>
        <v>HECR730127IQ5</v>
      </c>
      <c r="E13" s="36" t="str">
        <f>'CALCULO Y BASE'!E16</f>
        <v>HECR730127MMSRHC05</v>
      </c>
      <c r="F13" s="88">
        <f>'CALCULO Y BASE'!H16</f>
        <v>42296</v>
      </c>
      <c r="G13" s="36">
        <f>'CALCULO Y BASE'!I16</f>
        <v>123.5</v>
      </c>
      <c r="H13" s="88">
        <f t="shared" ca="1" si="0"/>
        <v>43885</v>
      </c>
      <c r="I13" s="90">
        <f t="shared" ca="1" si="1"/>
        <v>4.353424657534247</v>
      </c>
    </row>
    <row r="14" spans="1:10" x14ac:dyDescent="0.25">
      <c r="A14" s="36">
        <f>'CALCULO Y BASE'!A17</f>
        <v>208</v>
      </c>
      <c r="B14" s="36" t="str">
        <f>'CALCULO Y BASE'!B17</f>
        <v>DANIEL MARTINEZ RODRIGUEZ</v>
      </c>
      <c r="C14" s="36">
        <f>'CALCULO Y BASE'!C17</f>
        <v>30109309259</v>
      </c>
      <c r="D14" s="36" t="str">
        <f>'CALCULO Y BASE'!D17</f>
        <v>MARD9309029V9</v>
      </c>
      <c r="E14" s="36" t="str">
        <f>'CALCULO Y BASE'!E17</f>
        <v>MARD930902HDFRDN01</v>
      </c>
      <c r="F14" s="88">
        <f>'CALCULO Y BASE'!H17</f>
        <v>42296</v>
      </c>
      <c r="G14" s="36">
        <f>'CALCULO Y BASE'!I17</f>
        <v>123.5</v>
      </c>
      <c r="H14" s="88">
        <f t="shared" ca="1" si="0"/>
        <v>43885</v>
      </c>
      <c r="I14" s="90">
        <f t="shared" ca="1" si="1"/>
        <v>4.353424657534247</v>
      </c>
    </row>
    <row r="15" spans="1:10" x14ac:dyDescent="0.25">
      <c r="A15" s="36">
        <f>'CALCULO Y BASE'!A18</f>
        <v>227</v>
      </c>
      <c r="B15" s="36" t="str">
        <f>'CALCULO Y BASE'!B18</f>
        <v>HECTOR ABRAHAM SANTA FE CHAVEZ</v>
      </c>
      <c r="C15" s="36">
        <f>'CALCULO Y BASE'!C18</f>
        <v>18149299788</v>
      </c>
      <c r="D15" s="36" t="str">
        <f>'CALCULO Y BASE'!D18</f>
        <v>SACH920618U80</v>
      </c>
      <c r="E15" s="36" t="str">
        <f>'CALCULO Y BASE'!E18</f>
        <v>SACH920618HDFNHC05</v>
      </c>
      <c r="F15" s="88">
        <f>'CALCULO Y BASE'!H18</f>
        <v>43734</v>
      </c>
      <c r="G15" s="36">
        <f>'CALCULO Y BASE'!I18</f>
        <v>105.41</v>
      </c>
      <c r="H15" s="88">
        <f t="shared" ca="1" si="0"/>
        <v>43885</v>
      </c>
      <c r="I15" s="90">
        <f t="shared" ca="1" si="1"/>
        <v>0.41369863013698632</v>
      </c>
    </row>
    <row r="16" spans="1:10" x14ac:dyDescent="0.25">
      <c r="A16" s="36">
        <f>'CALCULO Y BASE'!A19</f>
        <v>251</v>
      </c>
      <c r="B16" s="36" t="str">
        <f>'CALCULO Y BASE'!B19</f>
        <v>ALEJANDRA SOLIS RUIZ</v>
      </c>
      <c r="C16" s="36">
        <f>'CALCULO Y BASE'!C19</f>
        <v>26169732034</v>
      </c>
      <c r="D16" s="36" t="str">
        <f>'CALCULO Y BASE'!D19</f>
        <v>SORA970109IH1</v>
      </c>
      <c r="E16" s="36" t="str">
        <f>'CALCULO Y BASE'!E19</f>
        <v>SORA970109MDFLZL07</v>
      </c>
      <c r="F16" s="88">
        <f>'CALCULO Y BASE'!H19</f>
        <v>42438</v>
      </c>
      <c r="G16" s="36">
        <f>'CALCULO Y BASE'!I19</f>
        <v>123.5</v>
      </c>
      <c r="H16" s="88">
        <f t="shared" ca="1" si="0"/>
        <v>43885</v>
      </c>
      <c r="I16" s="90">
        <f t="shared" ca="1" si="1"/>
        <v>3.9643835616438357</v>
      </c>
    </row>
    <row r="17" spans="1:9" x14ac:dyDescent="0.25">
      <c r="A17" s="36">
        <f>'CALCULO Y BASE'!A20</f>
        <v>274</v>
      </c>
      <c r="B17" s="36" t="str">
        <f>'CALCULO Y BASE'!B20</f>
        <v>EDUARDO JAVIER ANTONIO BECERRIL</v>
      </c>
      <c r="C17" s="36">
        <f>'CALCULO Y BASE'!C20</f>
        <v>14119609775</v>
      </c>
      <c r="D17" s="36" t="str">
        <f>'CALCULO Y BASE'!D20</f>
        <v>AOBE960907973</v>
      </c>
      <c r="E17" s="36" t="str">
        <f>'CALCULO Y BASE'!E20</f>
        <v>AOBE960907HDFNCD04</v>
      </c>
      <c r="F17" s="88">
        <f>'CALCULO Y BASE'!H20</f>
        <v>42507</v>
      </c>
      <c r="G17" s="36">
        <f>'CALCULO Y BASE'!I20</f>
        <v>123.5</v>
      </c>
      <c r="H17" s="88">
        <f t="shared" ca="1" si="0"/>
        <v>43885</v>
      </c>
      <c r="I17" s="90">
        <f t="shared" ca="1" si="1"/>
        <v>3.7753424657534245</v>
      </c>
    </row>
    <row r="18" spans="1:9" x14ac:dyDescent="0.25">
      <c r="A18" s="36">
        <f>'CALCULO Y BASE'!A21</f>
        <v>316</v>
      </c>
      <c r="B18" s="36" t="str">
        <f>'CALCULO Y BASE'!B21</f>
        <v>MONTSERRAT HIGUERA SUNYOL</v>
      </c>
      <c r="C18" s="36">
        <f>'CALCULO Y BASE'!C21</f>
        <v>45088807156</v>
      </c>
      <c r="D18" s="36" t="str">
        <f>'CALCULO Y BASE'!D21</f>
        <v>HISM8805115U4</v>
      </c>
      <c r="E18" s="36" t="str">
        <f>'CALCULO Y BASE'!E21</f>
        <v>HISM880511MDFGNN06</v>
      </c>
      <c r="F18" s="88">
        <f>'CALCULO Y BASE'!H21</f>
        <v>42633</v>
      </c>
      <c r="G18" s="36">
        <f>'CALCULO Y BASE'!I21</f>
        <v>123.5</v>
      </c>
      <c r="H18" s="88">
        <f t="shared" ca="1" si="0"/>
        <v>43885</v>
      </c>
      <c r="I18" s="90">
        <f t="shared" ca="1" si="1"/>
        <v>3.43013698630137</v>
      </c>
    </row>
    <row r="19" spans="1:9" x14ac:dyDescent="0.25">
      <c r="A19" s="36">
        <f>'CALCULO Y BASE'!A22</f>
        <v>323</v>
      </c>
      <c r="B19" s="36" t="str">
        <f>'CALCULO Y BASE'!B22</f>
        <v>HECTOR DANIEL ORIA NIETO</v>
      </c>
      <c r="C19" s="36">
        <f>'CALCULO Y BASE'!C22</f>
        <v>92129439367</v>
      </c>
      <c r="D19" s="36" t="str">
        <f>'CALCULO Y BASE'!D22</f>
        <v>OINH940624SZ0</v>
      </c>
      <c r="E19" s="36" t="str">
        <f>'CALCULO Y BASE'!E22</f>
        <v>OINH940624HJCRTC04</v>
      </c>
      <c r="F19" s="88">
        <f>'CALCULO Y BASE'!H22</f>
        <v>42637</v>
      </c>
      <c r="G19" s="36">
        <f>'CALCULO Y BASE'!I22</f>
        <v>123.5</v>
      </c>
      <c r="H19" s="88">
        <f t="shared" ca="1" si="0"/>
        <v>43885</v>
      </c>
      <c r="I19" s="90">
        <f t="shared" ca="1" si="1"/>
        <v>3.419178082191781</v>
      </c>
    </row>
    <row r="20" spans="1:9" x14ac:dyDescent="0.25">
      <c r="A20" s="36">
        <f>'CALCULO Y BASE'!A23</f>
        <v>358</v>
      </c>
      <c r="B20" s="36" t="str">
        <f>'CALCULO Y BASE'!B23</f>
        <v>JOSE MARCELO RODRIGUEZ VAZQUEZ</v>
      </c>
      <c r="C20" s="36">
        <f>'CALCULO Y BASE'!C23</f>
        <v>1037903075</v>
      </c>
      <c r="D20" s="36" t="str">
        <f>'CALCULO Y BASE'!D23</f>
        <v>ROVM7908116R5</v>
      </c>
      <c r="E20" s="36" t="str">
        <f>'CALCULO Y BASE'!E23</f>
        <v>ROVM790811HDFDZR07</v>
      </c>
      <c r="F20" s="88">
        <f>'CALCULO Y BASE'!H23</f>
        <v>42828</v>
      </c>
      <c r="G20" s="36">
        <f>'CALCULO Y BASE'!I23</f>
        <v>196.38</v>
      </c>
      <c r="H20" s="88">
        <f t="shared" ca="1" si="0"/>
        <v>43885</v>
      </c>
      <c r="I20" s="90">
        <f t="shared" ca="1" si="1"/>
        <v>2.8958904109589043</v>
      </c>
    </row>
    <row r="21" spans="1:9" x14ac:dyDescent="0.25">
      <c r="A21" s="36">
        <f>'CALCULO Y BASE'!A24</f>
        <v>377</v>
      </c>
      <c r="B21" s="36" t="str">
        <f>'CALCULO Y BASE'!B24</f>
        <v>VANESSA GARCIA CRUZ</v>
      </c>
      <c r="C21" s="36">
        <f>'CALCULO Y BASE'!C24</f>
        <v>39119518528</v>
      </c>
      <c r="D21" s="36" t="str">
        <f>'CALCULO Y BASE'!D24</f>
        <v>GACV9512233N4</v>
      </c>
      <c r="E21" s="36" t="str">
        <f>'CALCULO Y BASE'!E24</f>
        <v>GACV951223MDFRRN00</v>
      </c>
      <c r="F21" s="88">
        <f>'CALCULO Y BASE'!H24</f>
        <v>42887</v>
      </c>
      <c r="G21" s="36">
        <f>'CALCULO Y BASE'!I24</f>
        <v>123.5</v>
      </c>
      <c r="H21" s="88">
        <f t="shared" ca="1" si="0"/>
        <v>43885</v>
      </c>
      <c r="I21" s="90">
        <f t="shared" ca="1" si="1"/>
        <v>2.7342465753424658</v>
      </c>
    </row>
    <row r="22" spans="1:9" x14ac:dyDescent="0.25">
      <c r="A22" s="36">
        <f>'CALCULO Y BASE'!A25</f>
        <v>382</v>
      </c>
      <c r="B22" s="36" t="str">
        <f>'CALCULO Y BASE'!B25</f>
        <v>MIRIAM GUADALUPE NERI BECERRIL</v>
      </c>
      <c r="C22" s="36">
        <f>'CALCULO Y BASE'!C25</f>
        <v>3179088640</v>
      </c>
      <c r="D22" s="36" t="str">
        <f>'CALCULO Y BASE'!D25</f>
        <v>NEBM9002035N5</v>
      </c>
      <c r="E22" s="36" t="str">
        <f>'CALCULO Y BASE'!E25</f>
        <v>NEBM900203MDFRCR08</v>
      </c>
      <c r="F22" s="88">
        <f>'CALCULO Y BASE'!H25</f>
        <v>42889</v>
      </c>
      <c r="G22" s="36">
        <f>'CALCULO Y BASE'!I25</f>
        <v>123.5</v>
      </c>
      <c r="H22" s="88">
        <f t="shared" ca="1" si="0"/>
        <v>43885</v>
      </c>
      <c r="I22" s="90">
        <f t="shared" ca="1" si="1"/>
        <v>2.7287671232876711</v>
      </c>
    </row>
    <row r="23" spans="1:9" x14ac:dyDescent="0.25">
      <c r="A23" s="36">
        <f>'CALCULO Y BASE'!A26</f>
        <v>398</v>
      </c>
      <c r="B23" s="36" t="str">
        <f>'CALCULO Y BASE'!B26</f>
        <v>JOSE ARMANDO OROZCO CASTILLO</v>
      </c>
      <c r="C23" s="36">
        <f>'CALCULO Y BASE'!C26</f>
        <v>45159813687</v>
      </c>
      <c r="D23" s="36" t="str">
        <f>'CALCULO Y BASE'!D26</f>
        <v>OOCA981129J47</v>
      </c>
      <c r="E23" s="36" t="str">
        <f>'CALCULO Y BASE'!E26</f>
        <v>OOCA981129HDFRSR02</v>
      </c>
      <c r="F23" s="88">
        <f>'CALCULO Y BASE'!H26</f>
        <v>42934</v>
      </c>
      <c r="G23" s="36">
        <f>'CALCULO Y BASE'!I26</f>
        <v>123.5</v>
      </c>
      <c r="H23" s="88">
        <f t="shared" ca="1" si="0"/>
        <v>43885</v>
      </c>
      <c r="I23" s="90">
        <f t="shared" ca="1" si="1"/>
        <v>2.6054794520547944</v>
      </c>
    </row>
    <row r="24" spans="1:9" x14ac:dyDescent="0.25">
      <c r="A24">
        <f>'CALCULO Y BASE'!A27</f>
        <v>400</v>
      </c>
      <c r="B24" t="str">
        <f>'CALCULO Y BASE'!B27</f>
        <v>LANOLYN ALONDRA MARTINEZ RODRIGUEZ</v>
      </c>
      <c r="C24">
        <f>'CALCULO Y BASE'!C27</f>
        <v>39139718595</v>
      </c>
      <c r="D24" t="str">
        <f>'CALCULO Y BASE'!D27</f>
        <v>MARL9711211K2</v>
      </c>
      <c r="E24" t="str">
        <f>'CALCULO Y BASE'!E27</f>
        <v>MARL971121MDFRDN04</v>
      </c>
      <c r="F24" s="8">
        <f>'CALCULO Y BASE'!H27</f>
        <v>42935</v>
      </c>
      <c r="G24">
        <f>'CALCULO Y BASE'!I27</f>
        <v>123.5</v>
      </c>
      <c r="H24" s="8">
        <f t="shared" ca="1" si="0"/>
        <v>43885</v>
      </c>
      <c r="I24" s="41">
        <f t="shared" ca="1" si="1"/>
        <v>2.6027397260273974</v>
      </c>
    </row>
    <row r="25" spans="1:9" x14ac:dyDescent="0.25">
      <c r="A25">
        <f>'CALCULO Y BASE'!A28</f>
        <v>403</v>
      </c>
      <c r="B25" t="str">
        <f>'CALCULO Y BASE'!B28</f>
        <v>WENDY KARINA NAJERA VILLAFAÑA</v>
      </c>
      <c r="C25">
        <f>'CALCULO Y BASE'!C28</f>
        <v>39129005318</v>
      </c>
      <c r="D25" t="str">
        <f>'CALCULO Y BASE'!D28</f>
        <v>NAVW900811VD3</v>
      </c>
      <c r="E25" t="str">
        <f>'CALCULO Y BASE'!E28</f>
        <v>NAVW900811MDFJLN01</v>
      </c>
      <c r="F25" s="8">
        <f>'CALCULO Y BASE'!H28</f>
        <v>42940</v>
      </c>
      <c r="G25">
        <f>'CALCULO Y BASE'!I28</f>
        <v>123.5</v>
      </c>
      <c r="H25" s="8">
        <f t="shared" ca="1" si="0"/>
        <v>43885</v>
      </c>
      <c r="I25" s="41">
        <f t="shared" ca="1" si="1"/>
        <v>2.5890410958904111</v>
      </c>
    </row>
    <row r="26" spans="1:9" x14ac:dyDescent="0.25">
      <c r="A26">
        <f>'CALCULO Y BASE'!A29</f>
        <v>423</v>
      </c>
      <c r="B26" t="str">
        <f>'CALCULO Y BASE'!B29</f>
        <v>DIANA ANDREA MOYA MANRIQUE</v>
      </c>
      <c r="C26">
        <f>'CALCULO Y BASE'!C29</f>
        <v>39149935999</v>
      </c>
      <c r="D26" t="str">
        <f>'CALCULO Y BASE'!D29</f>
        <v>MOMD9902126G2</v>
      </c>
      <c r="E26" t="str">
        <f>'CALCULO Y BASE'!E29</f>
        <v>MOMD990212MDFYNN06</v>
      </c>
      <c r="F26" s="8">
        <f>'CALCULO Y BASE'!H29</f>
        <v>42979</v>
      </c>
      <c r="G26">
        <f>'CALCULO Y BASE'!I29</f>
        <v>123.5</v>
      </c>
      <c r="H26" s="8">
        <f t="shared" ca="1" si="0"/>
        <v>43885</v>
      </c>
      <c r="I26" s="41">
        <f t="shared" ca="1" si="1"/>
        <v>2.4821917808219176</v>
      </c>
    </row>
    <row r="27" spans="1:9" x14ac:dyDescent="0.25">
      <c r="A27">
        <f>'CALCULO Y BASE'!A30</f>
        <v>425</v>
      </c>
      <c r="B27" t="str">
        <f>'CALCULO Y BASE'!B30</f>
        <v>UZZIEL OSMAR PIÑA CABALLERO</v>
      </c>
      <c r="C27">
        <f>'CALCULO Y BASE'!C30</f>
        <v>45109513908</v>
      </c>
      <c r="D27" t="str">
        <f>'CALCULO Y BASE'!D30</f>
        <v>PICU950611N87</v>
      </c>
      <c r="E27" t="str">
        <f>'CALCULO Y BASE'!E30</f>
        <v>PICU950611HDFXBZ04</v>
      </c>
      <c r="F27" s="8">
        <f>'CALCULO Y BASE'!H30</f>
        <v>42986</v>
      </c>
      <c r="G27">
        <f>'CALCULO Y BASE'!I30</f>
        <v>123.5</v>
      </c>
      <c r="H27" s="8">
        <f t="shared" ca="1" si="0"/>
        <v>43885</v>
      </c>
      <c r="I27" s="41">
        <f t="shared" ca="1" si="1"/>
        <v>2.463013698630137</v>
      </c>
    </row>
    <row r="28" spans="1:9" x14ac:dyDescent="0.25">
      <c r="A28">
        <f>'CALCULO Y BASE'!A31</f>
        <v>426</v>
      </c>
      <c r="B28" t="str">
        <f>'CALCULO Y BASE'!B31</f>
        <v>CLAUDIA COLUMBA RODRIGUEZ DIAZ</v>
      </c>
      <c r="C28">
        <f>'CALCULO Y BASE'!C31</f>
        <v>20917243774</v>
      </c>
      <c r="D28" t="str">
        <f>'CALCULO Y BASE'!D31</f>
        <v>RODC7205202E9</v>
      </c>
      <c r="E28" t="str">
        <f>'CALCULO Y BASE'!E31</f>
        <v>RODC720520MDFDZL05</v>
      </c>
      <c r="F28" s="8">
        <f>'CALCULO Y BASE'!H31</f>
        <v>42987</v>
      </c>
      <c r="G28">
        <f>'CALCULO Y BASE'!I31</f>
        <v>123.5</v>
      </c>
      <c r="H28" s="8">
        <f t="shared" ca="1" si="0"/>
        <v>43885</v>
      </c>
      <c r="I28" s="41">
        <f t="shared" ca="1" si="1"/>
        <v>2.4602739726027396</v>
      </c>
    </row>
    <row r="29" spans="1:9" x14ac:dyDescent="0.25">
      <c r="A29">
        <f>'CALCULO Y BASE'!A32</f>
        <v>440</v>
      </c>
      <c r="B29" t="str">
        <f>'CALCULO Y BASE'!B32</f>
        <v>AXEL MANUEL OROZCO CASTILLO</v>
      </c>
      <c r="C29">
        <f>'CALCULO Y BASE'!C32</f>
        <v>25149337872</v>
      </c>
      <c r="D29" t="str">
        <f>'CALCULO Y BASE'!D32</f>
        <v>OOCA930506E92</v>
      </c>
      <c r="E29" t="str">
        <f>'CALCULO Y BASE'!E32</f>
        <v>OOCA930506HDFRSX04</v>
      </c>
      <c r="F29" s="8">
        <f>'CALCULO Y BASE'!H32</f>
        <v>43042</v>
      </c>
      <c r="G29">
        <f>'CALCULO Y BASE'!I32</f>
        <v>123.5</v>
      </c>
      <c r="H29" s="8">
        <f t="shared" ca="1" si="0"/>
        <v>43885</v>
      </c>
      <c r="I29" s="41">
        <f t="shared" ca="1" si="1"/>
        <v>2.3095890410958906</v>
      </c>
    </row>
    <row r="30" spans="1:9" x14ac:dyDescent="0.25">
      <c r="A30">
        <f>'CALCULO Y BASE'!A33</f>
        <v>441</v>
      </c>
      <c r="B30" t="str">
        <f>'CALCULO Y BASE'!B33</f>
        <v>ALONSO NAHUI GUZMAN NAVA</v>
      </c>
      <c r="C30">
        <f>'CALCULO Y BASE'!C33</f>
        <v>45149958212</v>
      </c>
      <c r="D30" t="str">
        <f>'CALCULO Y BASE'!D33</f>
        <v>GUNA990904QT1</v>
      </c>
      <c r="E30" t="str">
        <f>'CALCULO Y BASE'!E33</f>
        <v>GUNA990904HDFZVL01</v>
      </c>
      <c r="F30" s="8">
        <f>'CALCULO Y BASE'!H33</f>
        <v>43042</v>
      </c>
      <c r="G30">
        <f>'CALCULO Y BASE'!I33</f>
        <v>123.5</v>
      </c>
      <c r="H30" s="8">
        <f t="shared" ca="1" si="0"/>
        <v>43885</v>
      </c>
      <c r="I30" s="41">
        <f t="shared" ca="1" si="1"/>
        <v>2.3095890410958906</v>
      </c>
    </row>
    <row r="31" spans="1:9" x14ac:dyDescent="0.25">
      <c r="A31">
        <f>'CALCULO Y BASE'!A34</f>
        <v>464</v>
      </c>
      <c r="B31" t="str">
        <f>'CALCULO Y BASE'!B34</f>
        <v>MARIA DEL CARMEN GUERRA HERNANDEZ</v>
      </c>
      <c r="C31">
        <f>'CALCULO Y BASE'!C34</f>
        <v>45139314913</v>
      </c>
      <c r="D31" t="str">
        <f>'CALCULO Y BASE'!D34</f>
        <v>GUHC930711HI3</v>
      </c>
      <c r="E31" t="str">
        <f>'CALCULO Y BASE'!E34</f>
        <v>GUHC930711MPLRRR02</v>
      </c>
      <c r="F31" s="8">
        <f>'CALCULO Y BASE'!H34</f>
        <v>43119</v>
      </c>
      <c r="G31">
        <f>'CALCULO Y BASE'!I34</f>
        <v>123.5</v>
      </c>
      <c r="H31" s="8">
        <f t="shared" ca="1" si="0"/>
        <v>43885</v>
      </c>
      <c r="I31" s="41">
        <f t="shared" ca="1" si="1"/>
        <v>2.0986301369863014</v>
      </c>
    </row>
    <row r="32" spans="1:9" x14ac:dyDescent="0.25">
      <c r="A32">
        <f>'CALCULO Y BASE'!A35</f>
        <v>481</v>
      </c>
      <c r="B32" t="str">
        <f>'CALCULO Y BASE'!B35</f>
        <v>VIRIDIAN ALVAREZ RODRIGUEZ</v>
      </c>
      <c r="C32">
        <f>'CALCULO Y BASE'!C35</f>
        <v>45139745496</v>
      </c>
      <c r="D32" t="str">
        <f>'CALCULO Y BASE'!D35</f>
        <v>AARV970103JZ4</v>
      </c>
      <c r="E32" t="str">
        <f>'CALCULO Y BASE'!E35</f>
        <v>AARV970103MDFLDR09</v>
      </c>
      <c r="F32" s="8">
        <f>'CALCULO Y BASE'!H35</f>
        <v>43164</v>
      </c>
      <c r="G32">
        <f>'CALCULO Y BASE'!I35</f>
        <v>123.5</v>
      </c>
      <c r="H32" s="8">
        <f t="shared" ca="1" si="0"/>
        <v>43885</v>
      </c>
      <c r="I32" s="41">
        <f t="shared" ca="1" si="1"/>
        <v>1.9753424657534246</v>
      </c>
    </row>
    <row r="33" spans="1:9" x14ac:dyDescent="0.25">
      <c r="A33">
        <f>'CALCULO Y BASE'!A36</f>
        <v>491</v>
      </c>
      <c r="B33" t="str">
        <f>'CALCULO Y BASE'!B36</f>
        <v>ALEJANDRA HERNANDEZ JUAREZ</v>
      </c>
      <c r="C33">
        <f>'CALCULO Y BASE'!C36</f>
        <v>8159669533</v>
      </c>
      <c r="D33" t="str">
        <f>'CALCULO Y BASE'!D36</f>
        <v>HEJA9604106P9</v>
      </c>
      <c r="E33" t="str">
        <f>'CALCULO Y BASE'!E36</f>
        <v>HEJA960410MDFRRL02</v>
      </c>
      <c r="F33" s="8">
        <f>'CALCULO Y BASE'!H36</f>
        <v>43206</v>
      </c>
      <c r="G33">
        <f>'CALCULO Y BASE'!I36</f>
        <v>123.5</v>
      </c>
      <c r="H33" s="8">
        <f t="shared" ca="1" si="0"/>
        <v>43885</v>
      </c>
      <c r="I33" s="41">
        <f t="shared" ca="1" si="1"/>
        <v>1.8602739726027397</v>
      </c>
    </row>
    <row r="34" spans="1:9" x14ac:dyDescent="0.25">
      <c r="A34">
        <f>'CALCULO Y BASE'!A37</f>
        <v>513</v>
      </c>
      <c r="B34" t="str">
        <f>'CALCULO Y BASE'!B37</f>
        <v>ARACELI ESTRADA ROMERO</v>
      </c>
      <c r="C34">
        <f>'CALCULO Y BASE'!C37</f>
        <v>6836500915</v>
      </c>
      <c r="D34" t="str">
        <f>'CALCULO Y BASE'!D37</f>
        <v>EARA651013IC7</v>
      </c>
      <c r="E34" t="str">
        <f>'CALCULO Y BASE'!E37</f>
        <v>EARA651013MDFSMR08</v>
      </c>
      <c r="F34" s="8">
        <f>'CALCULO Y BASE'!H37</f>
        <v>43256</v>
      </c>
      <c r="G34">
        <f>'CALCULO Y BASE'!I37</f>
        <v>123.5</v>
      </c>
      <c r="H34" s="8">
        <f t="shared" ca="1" si="0"/>
        <v>43885</v>
      </c>
      <c r="I34" s="41">
        <f t="shared" ca="1" si="1"/>
        <v>1.7232876712328766</v>
      </c>
    </row>
    <row r="35" spans="1:9" x14ac:dyDescent="0.25">
      <c r="A35">
        <f>'CALCULO Y BASE'!A38</f>
        <v>514</v>
      </c>
      <c r="B35" t="str">
        <f>'CALCULO Y BASE'!B38</f>
        <v>KARLA AURORA BRAVO DOMINGUEZ</v>
      </c>
      <c r="C35">
        <f>'CALCULO Y BASE'!C38</f>
        <v>39139818106</v>
      </c>
      <c r="D35" t="str">
        <f>'CALCULO Y BASE'!D38</f>
        <v>BADK9802134D7</v>
      </c>
      <c r="E35" t="str">
        <f>'CALCULO Y BASE'!E38</f>
        <v>BADK980213MVZRMR07</v>
      </c>
      <c r="F35" s="8">
        <f>'CALCULO Y BASE'!H38</f>
        <v>43279</v>
      </c>
      <c r="G35">
        <f>'CALCULO Y BASE'!I38</f>
        <v>123.5</v>
      </c>
      <c r="H35" s="8">
        <f t="shared" ca="1" si="0"/>
        <v>43885</v>
      </c>
      <c r="I35" s="41">
        <f t="shared" ca="1" si="1"/>
        <v>1.6602739726027398</v>
      </c>
    </row>
    <row r="36" spans="1:9" x14ac:dyDescent="0.25">
      <c r="A36">
        <f>'CALCULO Y BASE'!A39</f>
        <v>518</v>
      </c>
      <c r="B36" t="str">
        <f>'CALCULO Y BASE'!B39</f>
        <v>CARLOS JOHAN REYES RODRIGUEZ</v>
      </c>
      <c r="C36">
        <f>'CALCULO Y BASE'!C39</f>
        <v>39149938894</v>
      </c>
      <c r="D36" t="str">
        <f>'CALCULO Y BASE'!D39</f>
        <v>RERC990217GTA</v>
      </c>
      <c r="E36" t="str">
        <f>'CALCULO Y BASE'!E39</f>
        <v>RERC990217HDFYDR04</v>
      </c>
      <c r="F36" s="8">
        <f>'CALCULO Y BASE'!H39</f>
        <v>43572</v>
      </c>
      <c r="G36">
        <f>'CALCULO Y BASE'!I39</f>
        <v>123.5</v>
      </c>
      <c r="H36" s="8">
        <f t="shared" ca="1" si="0"/>
        <v>43885</v>
      </c>
      <c r="I36" s="41">
        <f t="shared" ca="1" si="1"/>
        <v>0.8575342465753425</v>
      </c>
    </row>
    <row r="37" spans="1:9" x14ac:dyDescent="0.25">
      <c r="A37">
        <f>'CALCULO Y BASE'!A40</f>
        <v>522</v>
      </c>
      <c r="B37" t="str">
        <f>'CALCULO Y BASE'!B40</f>
        <v>JESUS GARRIDO TELLEZ</v>
      </c>
      <c r="C37">
        <f>'CALCULO Y BASE'!C40</f>
        <v>2179442773</v>
      </c>
      <c r="D37" t="str">
        <f>'CALCULO Y BASE'!D40</f>
        <v>GATJ940123E89</v>
      </c>
      <c r="E37" t="str">
        <f>'CALCULO Y BASE'!E40</f>
        <v>GATJ940123HDFRLS03</v>
      </c>
      <c r="F37" s="8">
        <f>'CALCULO Y BASE'!H40</f>
        <v>43321</v>
      </c>
      <c r="G37">
        <f>'CALCULO Y BASE'!I40</f>
        <v>123.5</v>
      </c>
      <c r="H37" s="8">
        <f t="shared" ca="1" si="0"/>
        <v>43885</v>
      </c>
      <c r="I37" s="41">
        <f t="shared" ca="1" si="1"/>
        <v>1.5452054794520549</v>
      </c>
    </row>
    <row r="38" spans="1:9" x14ac:dyDescent="0.25">
      <c r="A38">
        <f>'CALCULO Y BASE'!A41</f>
        <v>530</v>
      </c>
      <c r="B38" t="str">
        <f>'CALCULO Y BASE'!B41</f>
        <v>LUIS ALAN CERVANTES CONTRERAS</v>
      </c>
      <c r="C38">
        <f>'CALCULO Y BASE'!C41</f>
        <v>62169926607</v>
      </c>
      <c r="D38" t="str">
        <f>'CALCULO Y BASE'!D41</f>
        <v>CECL990212N35</v>
      </c>
      <c r="E38" t="str">
        <f>'CALCULO Y BASE'!E41</f>
        <v>CECL990212HDFRNS00</v>
      </c>
      <c r="F38" s="8">
        <f>'CALCULO Y BASE'!H41</f>
        <v>43353</v>
      </c>
      <c r="G38">
        <f>'CALCULO Y BASE'!I41</f>
        <v>123.5</v>
      </c>
      <c r="H38" s="8">
        <f t="shared" ca="1" si="0"/>
        <v>43885</v>
      </c>
      <c r="I38" s="41">
        <f t="shared" ca="1" si="1"/>
        <v>1.4575342465753425</v>
      </c>
    </row>
    <row r="39" spans="1:9" x14ac:dyDescent="0.25">
      <c r="A39">
        <f>'CALCULO Y BASE'!A42</f>
        <v>541</v>
      </c>
      <c r="B39" t="str">
        <f>'CALCULO Y BASE'!B42</f>
        <v>VALERIA TOVAR CASTILLO</v>
      </c>
      <c r="C39">
        <f>'CALCULO Y BASE'!C42</f>
        <v>39149706077</v>
      </c>
      <c r="D39" t="str">
        <f>'CALCULO Y BASE'!D42</f>
        <v>TOCV971204C11</v>
      </c>
      <c r="E39" t="str">
        <f>'CALCULO Y BASE'!E42</f>
        <v>TOCV971204MDFVSL00</v>
      </c>
      <c r="F39" s="8">
        <f>'CALCULO Y BASE'!H42</f>
        <v>43389</v>
      </c>
      <c r="G39">
        <f>'CALCULO Y BASE'!I42</f>
        <v>123.5</v>
      </c>
      <c r="H39" s="8">
        <f t="shared" ca="1" si="0"/>
        <v>43885</v>
      </c>
      <c r="I39" s="41">
        <f t="shared" ca="1" si="1"/>
        <v>1.3589041095890411</v>
      </c>
    </row>
    <row r="40" spans="1:9" x14ac:dyDescent="0.25">
      <c r="A40">
        <f>'CALCULO Y BASE'!A43</f>
        <v>547</v>
      </c>
      <c r="B40" t="str">
        <f>'CALCULO Y BASE'!B43</f>
        <v>KAREN ITZEL REYES PEREZ</v>
      </c>
      <c r="C40">
        <f>'CALCULO Y BASE'!C43</f>
        <v>39090000520</v>
      </c>
      <c r="D40" t="str">
        <f>'CALCULO Y BASE'!D43</f>
        <v>REPK000920N55</v>
      </c>
      <c r="E40" t="str">
        <f>'CALCULO Y BASE'!E43</f>
        <v>REPK000920MDFYRRA5</v>
      </c>
      <c r="F40" s="8">
        <f>'CALCULO Y BASE'!H43</f>
        <v>43417</v>
      </c>
      <c r="G40">
        <f>'CALCULO Y BASE'!I43</f>
        <v>123.5</v>
      </c>
      <c r="H40" s="8">
        <f t="shared" ca="1" si="0"/>
        <v>43885</v>
      </c>
      <c r="I40" s="41">
        <f t="shared" ca="1" si="1"/>
        <v>1.2821917808219179</v>
      </c>
    </row>
    <row r="41" spans="1:9" x14ac:dyDescent="0.25">
      <c r="A41">
        <f>'CALCULO Y BASE'!A44</f>
        <v>550</v>
      </c>
      <c r="B41" t="str">
        <f>'CALCULO Y BASE'!B44</f>
        <v>CITLALY ODET ORDOÑEZ CORONA</v>
      </c>
      <c r="C41">
        <f>'CALCULO Y BASE'!C44</f>
        <v>39139563272</v>
      </c>
      <c r="D41" t="str">
        <f>'CALCULO Y BASE'!D44</f>
        <v>OOCC9502211D3</v>
      </c>
      <c r="E41" t="str">
        <f>'CALCULO Y BASE'!E44</f>
        <v>OOCC950221MDFRRT10</v>
      </c>
      <c r="F41" s="8">
        <f>'CALCULO Y BASE'!H44</f>
        <v>43431</v>
      </c>
      <c r="G41">
        <f>'CALCULO Y BASE'!I44</f>
        <v>123.5</v>
      </c>
      <c r="H41" s="8">
        <f t="shared" ca="1" si="0"/>
        <v>43885</v>
      </c>
      <c r="I41" s="41">
        <f t="shared" ca="1" si="1"/>
        <v>1.2438356164383562</v>
      </c>
    </row>
    <row r="42" spans="1:9" x14ac:dyDescent="0.25">
      <c r="A42">
        <f>'CALCULO Y BASE'!A45</f>
        <v>552</v>
      </c>
      <c r="B42" t="str">
        <f>'CALCULO Y BASE'!B45</f>
        <v>SEBASTIAN CHAVEZ GOMEZ</v>
      </c>
      <c r="C42">
        <f>'CALCULO Y BASE'!C45</f>
        <v>46160032697</v>
      </c>
      <c r="D42" t="str">
        <f>'CALCULO Y BASE'!D45</f>
        <v>CAGS000214DG1</v>
      </c>
      <c r="E42" t="str">
        <f>'CALCULO Y BASE'!E45</f>
        <v>CAGS000214HDFHMBA2</v>
      </c>
      <c r="F42" s="8">
        <f>'CALCULO Y BASE'!H45</f>
        <v>43431</v>
      </c>
      <c r="G42">
        <f>'CALCULO Y BASE'!I45</f>
        <v>123.5</v>
      </c>
      <c r="H42" s="8">
        <f t="shared" ca="1" si="0"/>
        <v>43885</v>
      </c>
      <c r="I42" s="41">
        <f t="shared" ca="1" si="1"/>
        <v>1.2438356164383562</v>
      </c>
    </row>
    <row r="43" spans="1:9" x14ac:dyDescent="0.25">
      <c r="A43">
        <f>'CALCULO Y BASE'!A46</f>
        <v>554</v>
      </c>
      <c r="B43" t="str">
        <f>'CALCULO Y BASE'!B46</f>
        <v>MICHAEL ANGELLO BRAVO DOMINGUEZ</v>
      </c>
      <c r="C43">
        <f>'CALCULO Y BASE'!C46</f>
        <v>39139419202</v>
      </c>
      <c r="D43" t="str">
        <f>'CALCULO Y BASE'!D46</f>
        <v>BADM9402052Y0</v>
      </c>
      <c r="E43" t="str">
        <f>'CALCULO Y BASE'!E46</f>
        <v>BADM940205HVZRMC09</v>
      </c>
      <c r="F43" s="8">
        <f>'CALCULO Y BASE'!H46</f>
        <v>43800</v>
      </c>
      <c r="G43">
        <f>'CALCULO Y BASE'!I46</f>
        <v>123.5</v>
      </c>
      <c r="H43" s="8">
        <f t="shared" ca="1" si="0"/>
        <v>43885</v>
      </c>
      <c r="I43" s="41">
        <f t="shared" ca="1" si="1"/>
        <v>0.23287671232876711</v>
      </c>
    </row>
    <row r="44" spans="1:9" x14ac:dyDescent="0.25">
      <c r="A44">
        <f>'CALCULO Y BASE'!A47</f>
        <v>566</v>
      </c>
      <c r="B44" t="str">
        <f>'CALCULO Y BASE'!B47</f>
        <v>CRISTINA YOVANNE SANTANA TAPIA</v>
      </c>
      <c r="C44">
        <f>'CALCULO Y BASE'!C47</f>
        <v>38149322208</v>
      </c>
      <c r="D44" t="str">
        <f>'CALCULO Y BASE'!D47</f>
        <v>SATC930618MY4</v>
      </c>
      <c r="E44" t="str">
        <f>'CALCULO Y BASE'!E47</f>
        <v>SATC930618MDFNPR05</v>
      </c>
      <c r="F44" s="8">
        <f>'CALCULO Y BASE'!H47</f>
        <v>43496</v>
      </c>
      <c r="G44">
        <f>'CALCULO Y BASE'!I47</f>
        <v>123.5</v>
      </c>
      <c r="H44" s="8">
        <f t="shared" ca="1" si="0"/>
        <v>43885</v>
      </c>
      <c r="I44" s="41">
        <f t="shared" ca="1" si="1"/>
        <v>1.0657534246575342</v>
      </c>
    </row>
    <row r="45" spans="1:9" x14ac:dyDescent="0.25">
      <c r="A45">
        <f>'CALCULO Y BASE'!A48</f>
        <v>567</v>
      </c>
      <c r="B45" t="str">
        <f>'CALCULO Y BASE'!B48</f>
        <v>MARIA ISABEL MONTALVO CONTRERAS</v>
      </c>
      <c r="C45">
        <f>'CALCULO Y BASE'!C48</f>
        <v>11987202311</v>
      </c>
      <c r="D45" t="str">
        <f>'CALCULO Y BASE'!D48</f>
        <v>MOCI720615VBA</v>
      </c>
      <c r="E45" t="str">
        <f>'CALCULO Y BASE'!E48</f>
        <v>MOCI720615MDFNNS01</v>
      </c>
      <c r="F45" s="8">
        <f>'CALCULO Y BASE'!H48</f>
        <v>43497</v>
      </c>
      <c r="G45">
        <f>'CALCULO Y BASE'!I48</f>
        <v>123.5</v>
      </c>
      <c r="H45" s="8">
        <f t="shared" ca="1" si="0"/>
        <v>43885</v>
      </c>
      <c r="I45" s="41">
        <f t="shared" ca="1" si="1"/>
        <v>1.0630136986301371</v>
      </c>
    </row>
    <row r="46" spans="1:9" x14ac:dyDescent="0.25">
      <c r="A46">
        <f>'CALCULO Y BASE'!A49</f>
        <v>573</v>
      </c>
      <c r="B46" t="str">
        <f>'CALCULO Y BASE'!B49</f>
        <v>MARIA FERNANDA CORTES VAZQUEZ</v>
      </c>
      <c r="C46">
        <f>'CALCULO Y BASE'!C49</f>
        <v>5149792730</v>
      </c>
      <c r="D46" t="str">
        <f>'CALCULO Y BASE'!D49</f>
        <v>COVF970320FA0</v>
      </c>
      <c r="E46" t="str">
        <f>'CALCULO Y BASE'!E49</f>
        <v>COVF970320MDFRZR07</v>
      </c>
      <c r="F46" s="8">
        <f>'CALCULO Y BASE'!H49</f>
        <v>43528</v>
      </c>
      <c r="G46">
        <f>'CALCULO Y BASE'!I49</f>
        <v>329.43</v>
      </c>
      <c r="H46" s="8">
        <f t="shared" ca="1" si="0"/>
        <v>43885</v>
      </c>
      <c r="I46" s="41">
        <f t="shared" ca="1" si="1"/>
        <v>0.9780821917808219</v>
      </c>
    </row>
    <row r="47" spans="1:9" x14ac:dyDescent="0.25">
      <c r="A47">
        <f>'CALCULO Y BASE'!A50</f>
        <v>576</v>
      </c>
      <c r="B47" t="str">
        <f>'CALCULO Y BASE'!B50</f>
        <v>ADRIANA LUCIA ESCOBEDO MAGDALENO</v>
      </c>
      <c r="C47">
        <f>'CALCULO Y BASE'!C50</f>
        <v>39119248225</v>
      </c>
      <c r="D47" t="str">
        <f>'CALCULO Y BASE'!D50</f>
        <v>EOMA920926TV3</v>
      </c>
      <c r="E47" t="str">
        <f>'CALCULO Y BASE'!E50</f>
        <v>EOMA920926MDFSGD01</v>
      </c>
      <c r="F47" s="8">
        <f>'CALCULO Y BASE'!H50</f>
        <v>43544</v>
      </c>
      <c r="G47">
        <f>'CALCULO Y BASE'!I50</f>
        <v>123.5</v>
      </c>
      <c r="H47" s="8">
        <f t="shared" ca="1" si="0"/>
        <v>43885</v>
      </c>
      <c r="I47" s="41">
        <f t="shared" ca="1" si="1"/>
        <v>0.9342465753424658</v>
      </c>
    </row>
    <row r="48" spans="1:9" x14ac:dyDescent="0.25">
      <c r="A48">
        <f>'CALCULO Y BASE'!A51</f>
        <v>587</v>
      </c>
      <c r="B48" t="str">
        <f>'CALCULO Y BASE'!B51</f>
        <v>ELIA LEON MEJIA</v>
      </c>
      <c r="C48">
        <f>'CALCULO Y BASE'!C51</f>
        <v>39129737803</v>
      </c>
      <c r="D48" t="str">
        <f>'CALCULO Y BASE'!D51</f>
        <v>LEME970216RH3</v>
      </c>
      <c r="E48" t="str">
        <f>'CALCULO Y BASE'!E51</f>
        <v>LEME970216MDFNJL08</v>
      </c>
      <c r="F48" s="8">
        <f>'CALCULO Y BASE'!H51</f>
        <v>43580</v>
      </c>
      <c r="G48">
        <f>'CALCULO Y BASE'!I51</f>
        <v>123.5</v>
      </c>
      <c r="H48" s="8">
        <f t="shared" ca="1" si="0"/>
        <v>43885</v>
      </c>
      <c r="I48" s="41">
        <f t="shared" ca="1" si="1"/>
        <v>0.83561643835616439</v>
      </c>
    </row>
    <row r="49" spans="1:9" x14ac:dyDescent="0.25">
      <c r="A49">
        <f>'CALCULO Y BASE'!A52</f>
        <v>590</v>
      </c>
      <c r="B49" t="str">
        <f>'CALCULO Y BASE'!B52</f>
        <v>XIMENA VIRIDIANA MORA GONZALEZ</v>
      </c>
      <c r="C49">
        <f>'CALCULO Y BASE'!C52</f>
        <v>12130135168</v>
      </c>
      <c r="D49" t="str">
        <f>'CALCULO Y BASE'!D52</f>
        <v>MOGX011003PI0</v>
      </c>
      <c r="E49" t="str">
        <f>'CALCULO Y BASE'!E52</f>
        <v>MOGX011003MDFRNMA6</v>
      </c>
      <c r="F49" s="8">
        <f>'CALCULO Y BASE'!H52</f>
        <v>43592</v>
      </c>
      <c r="G49">
        <f>'CALCULO Y BASE'!I52</f>
        <v>123.5</v>
      </c>
      <c r="H49" s="8">
        <f t="shared" ca="1" si="0"/>
        <v>43885</v>
      </c>
      <c r="I49" s="41">
        <f t="shared" ca="1" si="1"/>
        <v>0.80273972602739729</v>
      </c>
    </row>
    <row r="50" spans="1:9" x14ac:dyDescent="0.25">
      <c r="A50">
        <f>'CALCULO Y BASE'!A53</f>
        <v>600</v>
      </c>
      <c r="B50" t="str">
        <f>'CALCULO Y BASE'!B53</f>
        <v>NOEMI DOLORES CORREA</v>
      </c>
      <c r="C50">
        <f>'CALCULO Y BASE'!C53</f>
        <v>39139404220</v>
      </c>
      <c r="D50" t="str">
        <f>'CALCULO Y BASE'!D53</f>
        <v>DOCN940114MR7</v>
      </c>
      <c r="E50" t="str">
        <f>'CALCULO Y BASE'!E53</f>
        <v>DOCN940114MDFLRM09</v>
      </c>
      <c r="F50" s="8">
        <f>'CALCULO Y BASE'!H53</f>
        <v>43624</v>
      </c>
      <c r="G50">
        <f>'CALCULO Y BASE'!I53</f>
        <v>123.5</v>
      </c>
      <c r="H50" s="8">
        <f t="shared" ca="1" si="0"/>
        <v>43885</v>
      </c>
      <c r="I50" s="41">
        <f t="shared" ca="1" si="1"/>
        <v>0.71506849315068488</v>
      </c>
    </row>
    <row r="51" spans="1:9" x14ac:dyDescent="0.25">
      <c r="A51">
        <f>'CALCULO Y BASE'!A54</f>
        <v>602</v>
      </c>
      <c r="B51" t="str">
        <f>'CALCULO Y BASE'!B54</f>
        <v>ALLAN MARTINEZ ALONSO</v>
      </c>
      <c r="C51">
        <f>'CALCULO Y BASE'!C54</f>
        <v>2179526492</v>
      </c>
      <c r="D51" t="str">
        <f>'CALCULO Y BASE'!D54</f>
        <v>MAAA951006CF2</v>
      </c>
      <c r="E51" t="str">
        <f>'CALCULO Y BASE'!E54</f>
        <v>MAAA951006HMCRLL08</v>
      </c>
      <c r="F51" s="8">
        <f>'CALCULO Y BASE'!H54</f>
        <v>43647</v>
      </c>
      <c r="G51">
        <f>'CALCULO Y BASE'!I54</f>
        <v>123.5</v>
      </c>
      <c r="H51" s="8">
        <f t="shared" ca="1" si="0"/>
        <v>43885</v>
      </c>
      <c r="I51" s="41">
        <f t="shared" ca="1" si="1"/>
        <v>0.65205479452054793</v>
      </c>
    </row>
    <row r="52" spans="1:9" x14ac:dyDescent="0.25">
      <c r="A52">
        <f>'CALCULO Y BASE'!A55</f>
        <v>604</v>
      </c>
      <c r="B52" t="str">
        <f>'CALCULO Y BASE'!B55</f>
        <v>ILIANA NALLELY ESTRADA ESTRADA</v>
      </c>
      <c r="C52">
        <f>'CALCULO Y BASE'!C55</f>
        <v>39078703145</v>
      </c>
      <c r="D52" t="str">
        <f>'CALCULO Y BASE'!D55</f>
        <v>EAEI8712092X9</v>
      </c>
      <c r="E52" t="str">
        <f>'CALCULO Y BASE'!E55</f>
        <v>EAEI871209MDFSSL05</v>
      </c>
      <c r="F52" s="8">
        <f>'CALCULO Y BASE'!H55</f>
        <v>43652</v>
      </c>
      <c r="G52">
        <f>'CALCULO Y BASE'!I55</f>
        <v>123.5</v>
      </c>
      <c r="H52" s="8">
        <f t="shared" ca="1" si="0"/>
        <v>43885</v>
      </c>
      <c r="I52" s="41">
        <f t="shared" ca="1" si="1"/>
        <v>0.63835616438356169</v>
      </c>
    </row>
    <row r="53" spans="1:9" x14ac:dyDescent="0.25">
      <c r="A53">
        <f>'CALCULO Y BASE'!A56</f>
        <v>605</v>
      </c>
      <c r="B53" t="str">
        <f>'CALCULO Y BASE'!B56</f>
        <v>ESTEFANIA NAVARRO BAEZ</v>
      </c>
      <c r="C53">
        <f>'CALCULO Y BASE'!C56</f>
        <v>39109318376</v>
      </c>
      <c r="D53" t="str">
        <f>'CALCULO Y BASE'!D56</f>
        <v>NABE930314EE8</v>
      </c>
      <c r="E53" t="str">
        <f>'CALCULO Y BASE'!E56</f>
        <v>NABE930314MDFVZS08</v>
      </c>
      <c r="F53" s="8">
        <f>'CALCULO Y BASE'!H56</f>
        <v>43733</v>
      </c>
      <c r="G53">
        <f>'CALCULO Y BASE'!I56</f>
        <v>123.5</v>
      </c>
      <c r="H53" s="8">
        <f t="shared" ca="1" si="0"/>
        <v>43885</v>
      </c>
      <c r="I53" s="41">
        <f t="shared" ca="1" si="1"/>
        <v>0.41643835616438357</v>
      </c>
    </row>
    <row r="54" spans="1:9" x14ac:dyDescent="0.25">
      <c r="A54">
        <f>'CALCULO Y BASE'!A57</f>
        <v>607</v>
      </c>
      <c r="B54" t="str">
        <f>'CALCULO Y BASE'!B57</f>
        <v>MARILYN   MORA ESCALANTE</v>
      </c>
      <c r="C54">
        <f>'CALCULO Y BASE'!C57</f>
        <v>42109106403</v>
      </c>
      <c r="D54" t="str">
        <f>'CALCULO Y BASE'!D57</f>
        <v>MOEM911206GB4</v>
      </c>
      <c r="E54" t="str">
        <f>'CALCULO Y BASE'!E57</f>
        <v>MOEM911206MTLRSR14</v>
      </c>
      <c r="F54" s="8">
        <f>'CALCULO Y BASE'!H57</f>
        <v>43739</v>
      </c>
      <c r="G54">
        <f>'CALCULO Y BASE'!I57</f>
        <v>123.5</v>
      </c>
      <c r="H54" s="8">
        <f t="shared" ca="1" si="0"/>
        <v>43885</v>
      </c>
      <c r="I54" s="41">
        <f t="shared" ca="1" si="1"/>
        <v>0.4</v>
      </c>
    </row>
    <row r="55" spans="1:9" x14ac:dyDescent="0.25">
      <c r="A55">
        <f>'CALCULO Y BASE'!A58</f>
        <v>609</v>
      </c>
      <c r="B55" t="str">
        <f>'CALCULO Y BASE'!B58</f>
        <v>SALMA  RUIZ AGUILAR</v>
      </c>
      <c r="C55">
        <f>'CALCULO Y BASE'!C58</f>
        <v>39149940114</v>
      </c>
      <c r="D55" t="str">
        <f>'CALCULO Y BASE'!D58</f>
        <v>RUAS9906277IA</v>
      </c>
      <c r="E55" t="str">
        <f>'CALCULO Y BASE'!E58</f>
        <v>RUAS990627MDFZGL08</v>
      </c>
      <c r="F55" s="8">
        <f>'CALCULO Y BASE'!H58</f>
        <v>43754</v>
      </c>
      <c r="G55">
        <f>'CALCULO Y BASE'!I58</f>
        <v>123.5</v>
      </c>
      <c r="H55" s="8">
        <f t="shared" ca="1" si="0"/>
        <v>43885</v>
      </c>
      <c r="I55" s="41">
        <f t="shared" ca="1" si="1"/>
        <v>0.35890410958904112</v>
      </c>
    </row>
    <row r="56" spans="1:9" x14ac:dyDescent="0.25">
      <c r="A56">
        <f>'CALCULO Y BASE'!A59</f>
        <v>610</v>
      </c>
      <c r="B56" t="str">
        <f>'CALCULO Y BASE'!B59</f>
        <v>ROCIO PAOLA CALVA ANTONIO</v>
      </c>
      <c r="C56">
        <f>'CALCULO Y BASE'!C59</f>
        <v>62169917671</v>
      </c>
      <c r="D56" t="str">
        <f>'CALCULO Y BASE'!D59</f>
        <v>CAAR990826SF5</v>
      </c>
      <c r="E56" t="str">
        <f>'CALCULO Y BASE'!E59</f>
        <v>CAAR990826MDFLNC09</v>
      </c>
      <c r="F56" s="8">
        <f>'CALCULO Y BASE'!H59</f>
        <v>43800</v>
      </c>
      <c r="G56">
        <f>'CALCULO Y BASE'!I59</f>
        <v>123.5</v>
      </c>
      <c r="H56" s="8">
        <f t="shared" ca="1" si="0"/>
        <v>43885</v>
      </c>
      <c r="I56" s="41">
        <f t="shared" ca="1" si="1"/>
        <v>0.23287671232876711</v>
      </c>
    </row>
    <row r="57" spans="1:9" x14ac:dyDescent="0.25">
      <c r="A57">
        <f>'CALCULO Y BASE'!A60</f>
        <v>611</v>
      </c>
      <c r="B57" t="str">
        <f>'CALCULO Y BASE'!B60</f>
        <v>NORMA BELEN CASTILLO PEÑA</v>
      </c>
      <c r="C57">
        <f>'CALCULO Y BASE'!C60</f>
        <v>39047500283</v>
      </c>
      <c r="D57" t="str">
        <f>'CALCULO Y BASE'!D60</f>
        <v>CAPN750202EM0</v>
      </c>
      <c r="E57" t="str">
        <f>'CALCULO Y BASE'!E60</f>
        <v>CAPN750202MDFSXR08</v>
      </c>
      <c r="F57" s="8">
        <f>'CALCULO Y BASE'!H60</f>
        <v>43800</v>
      </c>
      <c r="G57">
        <f>'CALCULO Y BASE'!I60</f>
        <v>123.5</v>
      </c>
      <c r="H57" s="8">
        <f t="shared" ca="1" si="0"/>
        <v>43885</v>
      </c>
      <c r="I57" s="41">
        <f t="shared" ca="1" si="1"/>
        <v>0.23287671232876711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M132"/>
  <sheetViews>
    <sheetView view="pageBreakPreview" zoomScaleNormal="100" zoomScaleSheetLayoutView="100" workbookViewId="0">
      <selection activeCell="H6" sqref="H6"/>
    </sheetView>
  </sheetViews>
  <sheetFormatPr baseColWidth="10" defaultRowHeight="15" x14ac:dyDescent="0.25"/>
  <cols>
    <col min="2" max="2" width="39.28515625" bestFit="1" customWidth="1"/>
    <col min="3" max="3" width="12" bestFit="1" customWidth="1"/>
    <col min="4" max="4" width="16.5703125" bestFit="1" customWidth="1"/>
    <col min="5" max="5" width="23.42578125" bestFit="1" customWidth="1"/>
    <col min="6" max="6" width="8.85546875" customWidth="1"/>
    <col min="7" max="7" width="14.140625" bestFit="1" customWidth="1"/>
    <col min="8" max="8" width="9.28515625" bestFit="1" customWidth="1"/>
    <col min="9" max="9" width="12.7109375" bestFit="1" customWidth="1"/>
    <col min="10" max="10" width="11.140625" bestFit="1" customWidth="1"/>
    <col min="11" max="11" width="9.42578125" bestFit="1" customWidth="1"/>
    <col min="12" max="12" width="11.5703125" bestFit="1" customWidth="1"/>
    <col min="13" max="13" width="11.85546875" bestFit="1" customWidth="1"/>
  </cols>
  <sheetData>
    <row r="1" spans="1:13" x14ac:dyDescent="0.25">
      <c r="A1" s="11" t="str">
        <f>'CALCULO Y BASE'!B1</f>
        <v>ABNERIA, S.A. DE C.V.</v>
      </c>
    </row>
    <row r="3" spans="1:13" x14ac:dyDescent="0.25">
      <c r="A3" t="s">
        <v>37</v>
      </c>
    </row>
    <row r="5" spans="1:13" x14ac:dyDescent="0.25">
      <c r="A5" t="s">
        <v>59</v>
      </c>
      <c r="B5" s="8" t="str">
        <f ca="1">'CALCULO Y BASE'!C3</f>
        <v>FEBRERO</v>
      </c>
    </row>
    <row r="6" spans="1:13" x14ac:dyDescent="0.25">
      <c r="A6" s="13" t="s">
        <v>40</v>
      </c>
      <c r="B6" s="105" t="s">
        <v>41</v>
      </c>
      <c r="C6" s="13" t="s">
        <v>72</v>
      </c>
      <c r="D6" s="13" t="s">
        <v>29</v>
      </c>
      <c r="E6" s="13" t="s">
        <v>1</v>
      </c>
      <c r="F6" s="13" t="s">
        <v>542</v>
      </c>
      <c r="G6" s="13" t="s">
        <v>4</v>
      </c>
      <c r="H6" s="13" t="s">
        <v>38</v>
      </c>
      <c r="I6" s="13" t="s">
        <v>48</v>
      </c>
      <c r="J6" s="13" t="s">
        <v>39</v>
      </c>
      <c r="K6" s="13" t="s">
        <v>2</v>
      </c>
      <c r="L6" s="13" t="s">
        <v>49</v>
      </c>
      <c r="M6" s="13" t="s">
        <v>12</v>
      </c>
    </row>
    <row r="7" spans="1:13" x14ac:dyDescent="0.25">
      <c r="A7" s="18">
        <f>'CALCULO Y BASE'!A6</f>
        <v>1</v>
      </c>
      <c r="B7" s="106" t="str">
        <f>'CALCULO Y BASE'!B6</f>
        <v>CESAR ABNER TRUJILLO ESTRADA</v>
      </c>
      <c r="C7" s="18">
        <f>'CALCULO Y BASE'!C6</f>
        <v>7078605396</v>
      </c>
      <c r="D7" s="18" t="str">
        <f>'CALCULO Y BASE'!D6</f>
        <v>TUEC8602065C1</v>
      </c>
      <c r="E7" s="18" t="str">
        <f>'CALCULO Y BASE'!E6</f>
        <v>TUEC860206HDFRSS03</v>
      </c>
      <c r="F7" s="18" t="str">
        <f>'CALCULO Y BASE'!F6</f>
        <v>MPD</v>
      </c>
      <c r="G7" s="15">
        <f ca="1">'CALCULO Y BASE'!Y6</f>
        <v>12858.403136000001</v>
      </c>
      <c r="H7" s="19">
        <f ca="1">'CALCULO Y BASE'!X6</f>
        <v>0</v>
      </c>
      <c r="I7" s="20">
        <f>'CALCULO Y BASE'!AB6</f>
        <v>0</v>
      </c>
      <c r="J7" s="15">
        <f ca="1">'CALCULO Y BASE'!W6</f>
        <v>1847.7868639999997</v>
      </c>
      <c r="K7" s="20">
        <f>'CALCULO Y BASE'!AA6</f>
        <v>401.00864000000001</v>
      </c>
      <c r="L7" s="20">
        <f>'CALCULO Y BASE'!AC6</f>
        <v>0</v>
      </c>
      <c r="M7" s="20">
        <f ca="1">'CALCULO Y BASE'!AD6</f>
        <v>12457.394496000001</v>
      </c>
    </row>
    <row r="8" spans="1:13" x14ac:dyDescent="0.25">
      <c r="A8" s="18">
        <f>'CALCULO Y BASE'!A7</f>
        <v>3</v>
      </c>
      <c r="B8" s="106" t="str">
        <f>'CALCULO Y BASE'!B7</f>
        <v>JOSE ANTONIO ESTRADA ROMERO</v>
      </c>
      <c r="C8" s="18">
        <f>'CALCULO Y BASE'!C7</f>
        <v>11947307382</v>
      </c>
      <c r="D8" s="18" t="str">
        <f>'CALCULO Y BASE'!D7</f>
        <v>EARA730128KI5</v>
      </c>
      <c r="E8" s="18" t="str">
        <f>'CALCULO Y BASE'!E7</f>
        <v>EARA730128HDFSMN01</v>
      </c>
      <c r="F8" s="18" t="str">
        <f>'CALCULO Y BASE'!F7</f>
        <v>FYD</v>
      </c>
      <c r="G8" s="15">
        <f ca="1">'CALCULO Y BASE'!Y7</f>
        <v>8690.7043999999987</v>
      </c>
      <c r="H8" s="19">
        <f ca="1">'CALCULO Y BASE'!X7</f>
        <v>0</v>
      </c>
      <c r="I8" s="20">
        <f>'CALCULO Y BASE'!AB7</f>
        <v>0</v>
      </c>
      <c r="J8" s="15">
        <f ca="1">'CALCULO Y BASE'!W7</f>
        <v>836.66560000000004</v>
      </c>
      <c r="K8" s="20">
        <f>'CALCULO Y BASE'!AA7</f>
        <v>248.44335999999998</v>
      </c>
      <c r="L8" s="20">
        <f>'CALCULO Y BASE'!AC7</f>
        <v>0</v>
      </c>
      <c r="M8" s="20">
        <f ca="1">'CALCULO Y BASE'!AD7</f>
        <v>8442.2610399999994</v>
      </c>
    </row>
    <row r="9" spans="1:13" x14ac:dyDescent="0.25">
      <c r="A9" s="18">
        <f>'CALCULO Y BASE'!A8</f>
        <v>9</v>
      </c>
      <c r="B9" s="106" t="str">
        <f>'CALCULO Y BASE'!B8</f>
        <v>ERIC GUSTAVO ESTRADA ESTRADA</v>
      </c>
      <c r="C9" s="18">
        <f>'CALCULO Y BASE'!C8</f>
        <v>39028216297</v>
      </c>
      <c r="D9" s="18" t="str">
        <f>'CALCULO Y BASE'!D8</f>
        <v>EAEE82041878A</v>
      </c>
      <c r="E9" s="18" t="str">
        <f>'CALCULO Y BASE'!E8</f>
        <v>EAEE820418HDFSSR08</v>
      </c>
      <c r="F9" s="18" t="str">
        <f>'CALCULO Y BASE'!F8</f>
        <v>CAB</v>
      </c>
      <c r="G9" s="15">
        <f ca="1">'CALCULO Y BASE'!Y8</f>
        <v>7324.7893919999997</v>
      </c>
      <c r="H9" s="19">
        <f ca="1">'CALCULO Y BASE'!X8</f>
        <v>0</v>
      </c>
      <c r="I9" s="20">
        <f>'CALCULO Y BASE'!AB8</f>
        <v>0</v>
      </c>
      <c r="J9" s="15">
        <f ca="1">'CALCULO Y BASE'!W8</f>
        <v>618.310608</v>
      </c>
      <c r="K9" s="20">
        <f>'CALCULO Y BASE'!AA8</f>
        <v>201.76424000000003</v>
      </c>
      <c r="L9" s="20">
        <f>'CALCULO Y BASE'!AC8</f>
        <v>0</v>
      </c>
      <c r="M9" s="20">
        <f ca="1">'CALCULO Y BASE'!AD8</f>
        <v>7123.0251519999993</v>
      </c>
    </row>
    <row r="10" spans="1:13" x14ac:dyDescent="0.25">
      <c r="A10" s="18">
        <v>15</v>
      </c>
      <c r="B10" s="106" t="str">
        <f>'CALCULO Y BASE'!B9</f>
        <v>EVA SUSANA MANJARREZ CAMACHO</v>
      </c>
      <c r="C10" s="18">
        <f>'CALCULO Y BASE'!C9</f>
        <v>39957323668</v>
      </c>
      <c r="D10" s="18" t="str">
        <f>'CALCULO Y BASE'!D9</f>
        <v>MACE730427QP8</v>
      </c>
      <c r="E10" s="18" t="str">
        <f>'CALCULO Y BASE'!E9</f>
        <v>MACE730427MDFNMV02</v>
      </c>
      <c r="F10" s="18" t="str">
        <f>'CALCULO Y BASE'!F9</f>
        <v>MPD</v>
      </c>
      <c r="G10" s="15">
        <f ca="1">'CALCULO Y BASE'!Y9</f>
        <v>9974.7981600000003</v>
      </c>
      <c r="H10" s="19">
        <f ca="1">'CALCULO Y BASE'!X9</f>
        <v>0</v>
      </c>
      <c r="I10" s="20">
        <f>'CALCULO Y BASE'!AB9</f>
        <v>0</v>
      </c>
      <c r="J10" s="15">
        <f ca="1">'CALCULO Y BASE'!W9</f>
        <v>1105.2318400000001</v>
      </c>
      <c r="K10" s="20">
        <f>'CALCULO Y BASE'!AA9</f>
        <v>294.21731999999997</v>
      </c>
      <c r="L10" s="20">
        <f>'CALCULO Y BASE'!AC9</f>
        <v>0</v>
      </c>
      <c r="M10" s="20">
        <f ca="1">'CALCULO Y BASE'!AD9</f>
        <v>9680.5808400000005</v>
      </c>
    </row>
    <row r="11" spans="1:13" x14ac:dyDescent="0.25">
      <c r="A11" s="18">
        <v>23</v>
      </c>
      <c r="B11" s="106" t="str">
        <f>'CALCULO Y BASE'!B10</f>
        <v>JORGE ALFONSO TAPIA DOMINGUEZ</v>
      </c>
      <c r="C11" s="18">
        <f>'CALCULO Y BASE'!C10</f>
        <v>39098710864</v>
      </c>
      <c r="D11" s="18" t="str">
        <f>'CALCULO Y BASE'!D10</f>
        <v>TADJ8708041S4</v>
      </c>
      <c r="E11" s="18" t="str">
        <f>'CALCULO Y BASE'!E10</f>
        <v>TADJ870804HDFPMR01</v>
      </c>
      <c r="F11" s="18" t="str">
        <f>'CALCULO Y BASE'!F10</f>
        <v>OPE</v>
      </c>
      <c r="G11" s="15">
        <f ca="1">'CALCULO Y BASE'!Y10</f>
        <v>8431.757599999999</v>
      </c>
      <c r="H11" s="19">
        <f ca="1">'CALCULO Y BASE'!X10</f>
        <v>0</v>
      </c>
      <c r="I11" s="20">
        <f>'CALCULO Y BASE'!AB10</f>
        <v>0</v>
      </c>
      <c r="J11" s="15">
        <f ca="1">'CALCULO Y BASE'!W10</f>
        <v>787.3424</v>
      </c>
      <c r="K11" s="20">
        <f>'CALCULO Y BASE'!AA10</f>
        <v>239.37024000000002</v>
      </c>
      <c r="L11" s="20">
        <f>'CALCULO Y BASE'!AC10</f>
        <v>0</v>
      </c>
      <c r="M11" s="20">
        <f ca="1">'CALCULO Y BASE'!AD10</f>
        <v>8192.3873599999988</v>
      </c>
    </row>
    <row r="12" spans="1:13" x14ac:dyDescent="0.25">
      <c r="A12" s="18">
        <v>28</v>
      </c>
      <c r="B12" s="106" t="str">
        <f>'CALCULO Y BASE'!B11</f>
        <v>GABRIEL ESTRADA PABELLO</v>
      </c>
      <c r="C12" s="18">
        <f>'CALCULO Y BASE'!C11</f>
        <v>11977941902</v>
      </c>
      <c r="D12" s="18" t="str">
        <f>'CALCULO Y BASE'!D11</f>
        <v>EAPG7905263L3</v>
      </c>
      <c r="E12" s="18" t="str">
        <f>'CALCULO Y BASE'!E11</f>
        <v>EAPG790526HDFSBB09</v>
      </c>
      <c r="F12" s="18" t="str">
        <f>'CALCULO Y BASE'!F11</f>
        <v>ACF</v>
      </c>
      <c r="G12" s="15">
        <f ca="1">'CALCULO Y BASE'!Y11</f>
        <v>9974.7981600000003</v>
      </c>
      <c r="H12" s="19">
        <f ca="1">'CALCULO Y BASE'!X11</f>
        <v>0</v>
      </c>
      <c r="I12" s="20">
        <f>'CALCULO Y BASE'!AB11</f>
        <v>0</v>
      </c>
      <c r="J12" s="15">
        <f ca="1">'CALCULO Y BASE'!W11</f>
        <v>1105.2318400000001</v>
      </c>
      <c r="K12" s="20">
        <f>'CALCULO Y BASE'!AA11</f>
        <v>294.21731999999997</v>
      </c>
      <c r="L12" s="20">
        <f>'CALCULO Y BASE'!AC11</f>
        <v>0</v>
      </c>
      <c r="M12" s="20">
        <f ca="1">'CALCULO Y BASE'!AD11</f>
        <v>9680.5808400000005</v>
      </c>
    </row>
    <row r="13" spans="1:13" x14ac:dyDescent="0.25">
      <c r="A13" s="18">
        <v>43</v>
      </c>
      <c r="B13" s="106" t="str">
        <f>'CALCULO Y BASE'!B12</f>
        <v>MARIA ANGELICA HERNANDEZ ROJAS</v>
      </c>
      <c r="C13" s="18">
        <f>'CALCULO Y BASE'!C12</f>
        <v>39937231387</v>
      </c>
      <c r="D13" s="18" t="str">
        <f>'CALCULO Y BASE'!D12</f>
        <v>HERA720223J87</v>
      </c>
      <c r="E13" s="18" t="str">
        <f>'CALCULO Y BASE'!E12</f>
        <v>HERA720223MDFRJN03</v>
      </c>
      <c r="F13" s="18" t="str">
        <f>'CALCULO Y BASE'!F12</f>
        <v>SSJ</v>
      </c>
      <c r="G13" s="15">
        <f ca="1">'CALCULO Y BASE'!Y12</f>
        <v>6062.273424</v>
      </c>
      <c r="H13" s="19">
        <f ca="1">'CALCULO Y BASE'!X12</f>
        <v>253.54</v>
      </c>
      <c r="I13" s="20">
        <f>'CALCULO Y BASE'!AB12</f>
        <v>0</v>
      </c>
      <c r="J13" s="15">
        <f ca="1">'CALCULO Y BASE'!W12</f>
        <v>433.22657600000002</v>
      </c>
      <c r="K13" s="20">
        <f>'CALCULO Y BASE'!AA12</f>
        <v>157.255</v>
      </c>
      <c r="L13" s="20">
        <f>'CALCULO Y BASE'!AC12</f>
        <v>0</v>
      </c>
      <c r="M13" s="20">
        <f ca="1">'CALCULO Y BASE'!AD12</f>
        <v>5905.0184239999999</v>
      </c>
    </row>
    <row r="14" spans="1:13" x14ac:dyDescent="0.25">
      <c r="A14" s="18">
        <v>133</v>
      </c>
      <c r="B14" s="106" t="str">
        <f>'CALCULO Y BASE'!B13</f>
        <v>CESAR ROBERTO MEDINA ROMERO</v>
      </c>
      <c r="C14" s="18">
        <f>'CALCULO Y BASE'!C13</f>
        <v>1109306629</v>
      </c>
      <c r="D14" s="18" t="str">
        <f>'CALCULO Y BASE'!D13</f>
        <v>MERC930527V20</v>
      </c>
      <c r="E14" s="18" t="str">
        <f>'CALCULO Y BASE'!E13</f>
        <v>MERC930527HDFDMS08</v>
      </c>
      <c r="F14" s="18" t="str">
        <f>'CALCULO Y BASE'!F13</f>
        <v>SCCC</v>
      </c>
      <c r="G14" s="15">
        <f ca="1">'CALCULO Y BASE'!Y13</f>
        <v>4127.1039199999996</v>
      </c>
      <c r="H14" s="19">
        <f ca="1">'CALCULO Y BASE'!X13</f>
        <v>382.46</v>
      </c>
      <c r="I14" s="20">
        <f>'CALCULO Y BASE'!AB13</f>
        <v>0</v>
      </c>
      <c r="J14" s="15">
        <f ca="1">'CALCULO Y BASE'!W13</f>
        <v>228.35608000000002</v>
      </c>
      <c r="K14" s="20">
        <f>'CALCULO Y BASE'!AA13</f>
        <v>100.1</v>
      </c>
      <c r="L14" s="20">
        <f>'CALCULO Y BASE'!AC13</f>
        <v>0</v>
      </c>
      <c r="M14" s="20">
        <f ca="1">'CALCULO Y BASE'!AD13</f>
        <v>4027.0039199999997</v>
      </c>
    </row>
    <row r="15" spans="1:13" x14ac:dyDescent="0.25">
      <c r="A15" s="18">
        <v>157</v>
      </c>
      <c r="B15" s="106" t="str">
        <f>'CALCULO Y BASE'!B14</f>
        <v>ERIK RICARDO RAMIREZ SOTO</v>
      </c>
      <c r="C15" s="18">
        <f>'CALCULO Y BASE'!C14</f>
        <v>96088833718</v>
      </c>
      <c r="D15" s="18" t="str">
        <f>'CALCULO Y BASE'!D14</f>
        <v>RASE880911SK7</v>
      </c>
      <c r="E15" s="18" t="str">
        <f>'CALCULO Y BASE'!E14</f>
        <v>RASE880911HMCMTR28</v>
      </c>
      <c r="F15" s="18" t="str">
        <f>'CALCULO Y BASE'!F14</f>
        <v>CAB</v>
      </c>
      <c r="G15" s="15">
        <f ca="1">'CALCULO Y BASE'!Y14</f>
        <v>6062.273424</v>
      </c>
      <c r="H15" s="19">
        <f ca="1">'CALCULO Y BASE'!X14</f>
        <v>253.54</v>
      </c>
      <c r="I15" s="20">
        <f>'CALCULO Y BASE'!AB14</f>
        <v>0</v>
      </c>
      <c r="J15" s="15">
        <f ca="1">'CALCULO Y BASE'!W14</f>
        <v>433.22657600000002</v>
      </c>
      <c r="K15" s="20">
        <f>'CALCULO Y BASE'!AA14</f>
        <v>157.255</v>
      </c>
      <c r="L15" s="20">
        <f>'CALCULO Y BASE'!AC14</f>
        <v>0</v>
      </c>
      <c r="M15" s="20">
        <f ca="1">'CALCULO Y BASE'!AD14</f>
        <v>5905.0184239999999</v>
      </c>
    </row>
    <row r="16" spans="1:13" x14ac:dyDescent="0.25">
      <c r="A16" s="18">
        <v>181</v>
      </c>
      <c r="B16" s="106" t="str">
        <f>'CALCULO Y BASE'!B15</f>
        <v>VERONICA PLACIDO ESTRADA</v>
      </c>
      <c r="C16" s="18">
        <f>'CALCULO Y BASE'!C15</f>
        <v>7907002443</v>
      </c>
      <c r="D16" s="18" t="str">
        <f>'CALCULO Y BASE'!D15</f>
        <v>PAEV700726NB4</v>
      </c>
      <c r="E16" s="18" t="str">
        <f>'CALCULO Y BASE'!E15</f>
        <v>PAEV700726MDFLSR07</v>
      </c>
      <c r="F16" s="18" t="str">
        <f>'CALCULO Y BASE'!F15</f>
        <v>SSJ</v>
      </c>
      <c r="G16" s="15">
        <f ca="1">'CALCULO Y BASE'!Y15</f>
        <v>3760.6599200000001</v>
      </c>
      <c r="H16" s="19">
        <f ca="1">'CALCULO Y BASE'!X15</f>
        <v>382.46</v>
      </c>
      <c r="I16" s="20">
        <f>'CALCULO Y BASE'!AB15</f>
        <v>0</v>
      </c>
      <c r="J16" s="15">
        <f ca="1">'CALCULO Y BASE'!W15</f>
        <v>203.30008000000004</v>
      </c>
      <c r="K16" s="20">
        <f>'CALCULO Y BASE'!AA15</f>
        <v>90.234999999999999</v>
      </c>
      <c r="L16" s="20">
        <f>'CALCULO Y BASE'!AC15</f>
        <v>0</v>
      </c>
      <c r="M16" s="20">
        <f ca="1">'CALCULO Y BASE'!AD15</f>
        <v>3670.4249199999999</v>
      </c>
    </row>
    <row r="17" spans="1:13" x14ac:dyDescent="0.25">
      <c r="A17" s="18">
        <v>207</v>
      </c>
      <c r="B17" s="106" t="str">
        <f>'CALCULO Y BASE'!B16</f>
        <v>MARIA DEL ROCIO HERNANDEZ CHINOS</v>
      </c>
      <c r="C17" s="18">
        <f>'CALCULO Y BASE'!C16</f>
        <v>2157397924</v>
      </c>
      <c r="D17" s="18" t="str">
        <f>'CALCULO Y BASE'!D16</f>
        <v>HECR730127IQ5</v>
      </c>
      <c r="E17" s="18" t="str">
        <f>'CALCULO Y BASE'!E16</f>
        <v>HECR730127MMSRHC05</v>
      </c>
      <c r="F17" s="18" t="str">
        <f>'CALCULO Y BASE'!F16</f>
        <v>SAJ</v>
      </c>
      <c r="G17" s="15">
        <f ca="1">'CALCULO Y BASE'!Y16</f>
        <v>3760.6599200000001</v>
      </c>
      <c r="H17" s="19">
        <f ca="1">'CALCULO Y BASE'!X16</f>
        <v>382.46</v>
      </c>
      <c r="I17" s="20">
        <f>'CALCULO Y BASE'!AB16</f>
        <v>0</v>
      </c>
      <c r="J17" s="15">
        <f ca="1">'CALCULO Y BASE'!W16</f>
        <v>203.30008000000004</v>
      </c>
      <c r="K17" s="20">
        <f>'CALCULO Y BASE'!AA16</f>
        <v>90.234999999999999</v>
      </c>
      <c r="L17" s="20">
        <f>'CALCULO Y BASE'!AC16</f>
        <v>0</v>
      </c>
      <c r="M17" s="20">
        <f ca="1">'CALCULO Y BASE'!AD16</f>
        <v>3670.4249199999999</v>
      </c>
    </row>
    <row r="18" spans="1:13" x14ac:dyDescent="0.25">
      <c r="A18" s="18">
        <v>208</v>
      </c>
      <c r="B18" s="106" t="str">
        <f>'CALCULO Y BASE'!B17</f>
        <v>DANIEL MARTINEZ RODRIGUEZ</v>
      </c>
      <c r="C18" s="18">
        <f>'CALCULO Y BASE'!C17</f>
        <v>30109309259</v>
      </c>
      <c r="D18" s="18" t="str">
        <f>'CALCULO Y BASE'!D17</f>
        <v>MARD9309029V9</v>
      </c>
      <c r="E18" s="18" t="str">
        <f>'CALCULO Y BASE'!E17</f>
        <v>MARD930902HDFRDN01</v>
      </c>
      <c r="F18" s="18" t="str">
        <f>'CALCULO Y BASE'!F17</f>
        <v>SAJ</v>
      </c>
      <c r="G18" s="15">
        <f ca="1">'CALCULO Y BASE'!Y17</f>
        <v>3760.6599200000001</v>
      </c>
      <c r="H18" s="19">
        <f ca="1">'CALCULO Y BASE'!X17</f>
        <v>382.46</v>
      </c>
      <c r="I18" s="20">
        <f>'CALCULO Y BASE'!AB17</f>
        <v>0</v>
      </c>
      <c r="J18" s="15">
        <f ca="1">'CALCULO Y BASE'!W17</f>
        <v>203.30008000000004</v>
      </c>
      <c r="K18" s="20">
        <f>'CALCULO Y BASE'!AA17</f>
        <v>90.234999999999999</v>
      </c>
      <c r="L18" s="20">
        <f>'CALCULO Y BASE'!AC17</f>
        <v>0</v>
      </c>
      <c r="M18" s="20">
        <f ca="1">'CALCULO Y BASE'!AD17</f>
        <v>3670.4249199999999</v>
      </c>
    </row>
    <row r="19" spans="1:13" x14ac:dyDescent="0.25">
      <c r="A19" s="18">
        <v>227</v>
      </c>
      <c r="B19" s="106" t="str">
        <f>'CALCULO Y BASE'!B18</f>
        <v>HECTOR ABRAHAM SANTA FE CHAVEZ</v>
      </c>
      <c r="C19" s="18">
        <f>'CALCULO Y BASE'!C18</f>
        <v>18149299788</v>
      </c>
      <c r="D19" s="18" t="str">
        <f>'CALCULO Y BASE'!D18</f>
        <v>SACH920618U80</v>
      </c>
      <c r="E19" s="18" t="str">
        <f>'CALCULO Y BASE'!E18</f>
        <v>SACH920618HDFNHC05</v>
      </c>
      <c r="F19" s="18" t="str">
        <f>'CALCULO Y BASE'!F18</f>
        <v>SAJ</v>
      </c>
      <c r="G19" s="15">
        <f ca="1">'CALCULO Y BASE'!Y18</f>
        <v>3293.78496</v>
      </c>
      <c r="H19" s="19">
        <f ca="1">'CALCULO Y BASE'!X18</f>
        <v>406.62</v>
      </c>
      <c r="I19" s="20">
        <f>'CALCULO Y BASE'!AB18</f>
        <v>0</v>
      </c>
      <c r="J19" s="15">
        <f ca="1">'CALCULO Y BASE'!W18</f>
        <v>169.72503999999998</v>
      </c>
      <c r="K19" s="20">
        <f>'CALCULO Y BASE'!AA18</f>
        <v>83.215000000000003</v>
      </c>
      <c r="L19" s="20">
        <f>'CALCULO Y BASE'!AC18</f>
        <v>0</v>
      </c>
      <c r="M19" s="20">
        <f ca="1">'CALCULO Y BASE'!AD18</f>
        <v>3210.5699599999998</v>
      </c>
    </row>
    <row r="20" spans="1:13" x14ac:dyDescent="0.25">
      <c r="A20" s="18">
        <v>251</v>
      </c>
      <c r="B20" s="106" t="str">
        <f>'CALCULO Y BASE'!B19</f>
        <v>ALEJANDRA SOLIS RUIZ</v>
      </c>
      <c r="C20" s="18">
        <f>'CALCULO Y BASE'!C19</f>
        <v>26169732034</v>
      </c>
      <c r="D20" s="18" t="str">
        <f>'CALCULO Y BASE'!D19</f>
        <v>SORA970109IH1</v>
      </c>
      <c r="E20" s="18" t="str">
        <f>'CALCULO Y BASE'!E19</f>
        <v>SORA970109MDFLZL07</v>
      </c>
      <c r="F20" s="18" t="str">
        <f>'CALCULO Y BASE'!F19</f>
        <v>SSJ</v>
      </c>
      <c r="G20" s="15">
        <f ca="1">'CALCULO Y BASE'!Y19</f>
        <v>3760.6599200000001</v>
      </c>
      <c r="H20" s="19">
        <f ca="1">'CALCULO Y BASE'!X19</f>
        <v>382.46</v>
      </c>
      <c r="I20" s="20">
        <f>'CALCULO Y BASE'!AB19</f>
        <v>0</v>
      </c>
      <c r="J20" s="15">
        <f ca="1">'CALCULO Y BASE'!W19</f>
        <v>203.30008000000004</v>
      </c>
      <c r="K20" s="20">
        <f>'CALCULO Y BASE'!AA19</f>
        <v>90.234999999999999</v>
      </c>
      <c r="L20" s="20">
        <f>'CALCULO Y BASE'!AC19</f>
        <v>0</v>
      </c>
      <c r="M20" s="20">
        <f ca="1">'CALCULO Y BASE'!AD19</f>
        <v>3670.4249199999999</v>
      </c>
    </row>
    <row r="21" spans="1:13" x14ac:dyDescent="0.25">
      <c r="A21" s="18">
        <v>274</v>
      </c>
      <c r="B21" s="106" t="str">
        <f>'CALCULO Y BASE'!B20</f>
        <v>EDUARDO JAVIER ANTONIO BECERRIL</v>
      </c>
      <c r="C21" s="18">
        <f>'CALCULO Y BASE'!C20</f>
        <v>14119609775</v>
      </c>
      <c r="D21" s="18" t="str">
        <f>'CALCULO Y BASE'!D20</f>
        <v>AOBE960907973</v>
      </c>
      <c r="E21" s="18" t="str">
        <f>'CALCULO Y BASE'!E20</f>
        <v>AOBE960907HDFNCD04</v>
      </c>
      <c r="F21" s="18" t="str">
        <f>'CALCULO Y BASE'!F20</f>
        <v>SSF</v>
      </c>
      <c r="G21" s="15">
        <f ca="1">'CALCULO Y BASE'!Y20</f>
        <v>3760.6599200000001</v>
      </c>
      <c r="H21" s="19">
        <f ca="1">'CALCULO Y BASE'!X20</f>
        <v>382.46</v>
      </c>
      <c r="I21" s="20">
        <f>'CALCULO Y BASE'!AB20</f>
        <v>0</v>
      </c>
      <c r="J21" s="15">
        <f ca="1">'CALCULO Y BASE'!W20</f>
        <v>203.30008000000004</v>
      </c>
      <c r="K21" s="20">
        <f>'CALCULO Y BASE'!AA20</f>
        <v>90.234999999999999</v>
      </c>
      <c r="L21" s="20">
        <f>'CALCULO Y BASE'!AC20</f>
        <v>0</v>
      </c>
      <c r="M21" s="20">
        <f ca="1">'CALCULO Y BASE'!AD20</f>
        <v>3670.4249199999999</v>
      </c>
    </row>
    <row r="22" spans="1:13" x14ac:dyDescent="0.25">
      <c r="A22" s="18">
        <v>316</v>
      </c>
      <c r="B22" s="106" t="str">
        <f>'CALCULO Y BASE'!B21</f>
        <v>MONTSERRAT HIGUERA SUNYOL</v>
      </c>
      <c r="C22" s="18">
        <f>'CALCULO Y BASE'!C21</f>
        <v>45088807156</v>
      </c>
      <c r="D22" s="18" t="str">
        <f>'CALCULO Y BASE'!D21</f>
        <v>HISM8805115U4</v>
      </c>
      <c r="E22" s="18" t="str">
        <f>'CALCULO Y BASE'!E21</f>
        <v>HISM880511MDFGNN06</v>
      </c>
      <c r="F22" s="18" t="str">
        <f>'CALCULO Y BASE'!F21</f>
        <v>SSF</v>
      </c>
      <c r="G22" s="15">
        <f ca="1">'CALCULO Y BASE'!Y21</f>
        <v>3760.6599200000001</v>
      </c>
      <c r="H22" s="19">
        <f ca="1">'CALCULO Y BASE'!X21</f>
        <v>382.46</v>
      </c>
      <c r="I22" s="20">
        <f>'CALCULO Y BASE'!AB21</f>
        <v>0</v>
      </c>
      <c r="J22" s="15">
        <f ca="1">'CALCULO Y BASE'!W21</f>
        <v>203.30008000000004</v>
      </c>
      <c r="K22" s="20">
        <f>'CALCULO Y BASE'!AA21</f>
        <v>90.234999999999999</v>
      </c>
      <c r="L22" s="20">
        <f>'CALCULO Y BASE'!AC21</f>
        <v>0</v>
      </c>
      <c r="M22" s="20">
        <f ca="1">'CALCULO Y BASE'!AD21</f>
        <v>3670.4249199999999</v>
      </c>
    </row>
    <row r="23" spans="1:13" x14ac:dyDescent="0.25">
      <c r="A23" s="18">
        <v>323</v>
      </c>
      <c r="B23" s="106" t="str">
        <f>'CALCULO Y BASE'!B22</f>
        <v>HECTOR DANIEL ORIA NIETO</v>
      </c>
      <c r="C23" s="18">
        <f>'CALCULO Y BASE'!C22</f>
        <v>92129439367</v>
      </c>
      <c r="D23" s="18" t="str">
        <f>'CALCULO Y BASE'!D22</f>
        <v>OINH940624SZ0</v>
      </c>
      <c r="E23" s="18" t="str">
        <f>'CALCULO Y BASE'!E22</f>
        <v>OINH940624HJCRTC04</v>
      </c>
      <c r="F23" s="18" t="str">
        <f>'CALCULO Y BASE'!F22</f>
        <v>SCCC</v>
      </c>
      <c r="G23" s="15">
        <f ca="1">'CALCULO Y BASE'!Y22</f>
        <v>3760.6599200000001</v>
      </c>
      <c r="H23" s="19">
        <f ca="1">'CALCULO Y BASE'!X22</f>
        <v>382.46</v>
      </c>
      <c r="I23" s="20">
        <f>'CALCULO Y BASE'!AB22</f>
        <v>0</v>
      </c>
      <c r="J23" s="15">
        <f ca="1">'CALCULO Y BASE'!W22</f>
        <v>203.30008000000004</v>
      </c>
      <c r="K23" s="20">
        <f>'CALCULO Y BASE'!AA22</f>
        <v>90.234999999999999</v>
      </c>
      <c r="L23" s="20">
        <f>'CALCULO Y BASE'!AC22</f>
        <v>0</v>
      </c>
      <c r="M23" s="20">
        <f ca="1">'CALCULO Y BASE'!AD22</f>
        <v>3670.4249199999999</v>
      </c>
    </row>
    <row r="24" spans="1:13" x14ac:dyDescent="0.25">
      <c r="A24" s="18">
        <v>358</v>
      </c>
      <c r="B24" s="106" t="str">
        <f>'CALCULO Y BASE'!B23</f>
        <v>JOSE MARCELO RODRIGUEZ VAZQUEZ</v>
      </c>
      <c r="C24" s="18">
        <f>'CALCULO Y BASE'!C23</f>
        <v>1037903075</v>
      </c>
      <c r="D24" s="18" t="str">
        <f>'CALCULO Y BASE'!D23</f>
        <v>ROVM7908116R5</v>
      </c>
      <c r="E24" s="18" t="str">
        <f>'CALCULO Y BASE'!E23</f>
        <v>ROVM790811HDFDZR07</v>
      </c>
      <c r="F24" s="18" t="str">
        <f>'CALCULO Y BASE'!F23</f>
        <v>CAB</v>
      </c>
      <c r="G24" s="15">
        <f ca="1">'CALCULO Y BASE'!Y23</f>
        <v>5615.9304959999999</v>
      </c>
      <c r="H24" s="19">
        <f ca="1">'CALCULO Y BASE'!X23</f>
        <v>294.63</v>
      </c>
      <c r="I24" s="20">
        <f>'CALCULO Y BASE'!AB23</f>
        <v>0</v>
      </c>
      <c r="J24" s="15">
        <f ca="1">'CALCULO Y BASE'!W23</f>
        <v>373.71950399999997</v>
      </c>
      <c r="K24" s="20">
        <f>'CALCULO Y BASE'!AA23</f>
        <v>143.48500000000001</v>
      </c>
      <c r="L24" s="20">
        <f>'CALCULO Y BASE'!AC23</f>
        <v>0</v>
      </c>
      <c r="M24" s="20">
        <f ca="1">'CALCULO Y BASE'!AD23</f>
        <v>5472.4454960000003</v>
      </c>
    </row>
    <row r="25" spans="1:13" x14ac:dyDescent="0.25">
      <c r="A25" s="18">
        <v>377</v>
      </c>
      <c r="B25" s="106" t="str">
        <f>'CALCULO Y BASE'!B24</f>
        <v>VANESSA GARCIA CRUZ</v>
      </c>
      <c r="C25" s="18">
        <f>'CALCULO Y BASE'!C24</f>
        <v>39119518528</v>
      </c>
      <c r="D25" s="18" t="str">
        <f>'CALCULO Y BASE'!D24</f>
        <v>GACV9512233N4</v>
      </c>
      <c r="E25" s="18" t="str">
        <f>'CALCULO Y BASE'!E24</f>
        <v>GACV951223MDFRRN00</v>
      </c>
      <c r="F25" s="18" t="str">
        <f>'CALCULO Y BASE'!F24</f>
        <v>SPD</v>
      </c>
      <c r="G25" s="15">
        <f ca="1">'CALCULO Y BASE'!Y24</f>
        <v>3760.6599200000001</v>
      </c>
      <c r="H25" s="19">
        <f ca="1">'CALCULO Y BASE'!X24</f>
        <v>382.46</v>
      </c>
      <c r="I25" s="20">
        <f>'CALCULO Y BASE'!AB24</f>
        <v>0</v>
      </c>
      <c r="J25" s="15">
        <f ca="1">'CALCULO Y BASE'!W24</f>
        <v>203.30008000000004</v>
      </c>
      <c r="K25" s="20">
        <f>'CALCULO Y BASE'!AA24</f>
        <v>90.234999999999999</v>
      </c>
      <c r="L25" s="20">
        <f>'CALCULO Y BASE'!AC24</f>
        <v>0</v>
      </c>
      <c r="M25" s="20">
        <f ca="1">'CALCULO Y BASE'!AD24</f>
        <v>3670.4249199999999</v>
      </c>
    </row>
    <row r="26" spans="1:13" x14ac:dyDescent="0.25">
      <c r="A26" s="18">
        <v>382</v>
      </c>
      <c r="B26" s="106" t="str">
        <f>'CALCULO Y BASE'!B25</f>
        <v>MIRIAM GUADALUPE NERI BECERRIL</v>
      </c>
      <c r="C26" s="18">
        <f>'CALCULO Y BASE'!C25</f>
        <v>3179088640</v>
      </c>
      <c r="D26" s="18" t="str">
        <f>'CALCULO Y BASE'!D25</f>
        <v>NEBM9002035N5</v>
      </c>
      <c r="E26" s="18" t="str">
        <f>'CALCULO Y BASE'!E25</f>
        <v>NEBM900203MDFRCR08</v>
      </c>
      <c r="F26" s="18" t="str">
        <f>'CALCULO Y BASE'!F25</f>
        <v>SSJ</v>
      </c>
      <c r="G26" s="15">
        <f ca="1">'CALCULO Y BASE'!Y25</f>
        <v>3760.6599200000001</v>
      </c>
      <c r="H26" s="19">
        <f ca="1">'CALCULO Y BASE'!X25</f>
        <v>382.46</v>
      </c>
      <c r="I26" s="20">
        <f>'CALCULO Y BASE'!AB25</f>
        <v>0</v>
      </c>
      <c r="J26" s="15">
        <f ca="1">'CALCULO Y BASE'!W25</f>
        <v>203.30008000000004</v>
      </c>
      <c r="K26" s="20">
        <f>'CALCULO Y BASE'!AA25</f>
        <v>90.234999999999999</v>
      </c>
      <c r="L26" s="20">
        <f>'CALCULO Y BASE'!AC25</f>
        <v>0</v>
      </c>
      <c r="M26" s="20">
        <f ca="1">'CALCULO Y BASE'!AD25</f>
        <v>3670.4249199999999</v>
      </c>
    </row>
    <row r="27" spans="1:13" x14ac:dyDescent="0.25">
      <c r="A27" s="18">
        <v>398</v>
      </c>
      <c r="B27" s="106" t="str">
        <f>'CALCULO Y BASE'!B26</f>
        <v>JOSE ARMANDO OROZCO CASTILLO</v>
      </c>
      <c r="C27" s="18">
        <f>'CALCULO Y BASE'!C26</f>
        <v>45159813687</v>
      </c>
      <c r="D27" s="18" t="str">
        <f>'CALCULO Y BASE'!D26</f>
        <v>OOCA981129J47</v>
      </c>
      <c r="E27" s="18" t="str">
        <f>'CALCULO Y BASE'!E26</f>
        <v>OOCA981129HDFRSR02</v>
      </c>
      <c r="F27" s="18" t="str">
        <f>'CALCULO Y BASE'!F26</f>
        <v>SPC</v>
      </c>
      <c r="G27" s="15">
        <f ca="1">'CALCULO Y BASE'!Y26</f>
        <v>3760.6599200000001</v>
      </c>
      <c r="H27" s="19">
        <f ca="1">'CALCULO Y BASE'!X26</f>
        <v>382.46</v>
      </c>
      <c r="I27" s="20">
        <f>'CALCULO Y BASE'!AB26</f>
        <v>0</v>
      </c>
      <c r="J27" s="15">
        <f ca="1">'CALCULO Y BASE'!W26</f>
        <v>203.30008000000004</v>
      </c>
      <c r="K27" s="20">
        <f>'CALCULO Y BASE'!AA26</f>
        <v>90.234999999999999</v>
      </c>
      <c r="L27" s="20">
        <f>'CALCULO Y BASE'!AC26</f>
        <v>0</v>
      </c>
      <c r="M27" s="20">
        <f ca="1">'CALCULO Y BASE'!AD26</f>
        <v>3670.4249199999999</v>
      </c>
    </row>
    <row r="28" spans="1:13" x14ac:dyDescent="0.25">
      <c r="A28" s="18">
        <v>400</v>
      </c>
      <c r="B28" s="106" t="str">
        <f>'CALCULO Y BASE'!B27</f>
        <v>LANOLYN ALONDRA MARTINEZ RODRIGUEZ</v>
      </c>
      <c r="C28" s="18">
        <f>'CALCULO Y BASE'!C27</f>
        <v>39139718595</v>
      </c>
      <c r="D28" s="18" t="str">
        <f>'CALCULO Y BASE'!D27</f>
        <v>MARL9711211K2</v>
      </c>
      <c r="E28" s="18" t="str">
        <f>'CALCULO Y BASE'!E27</f>
        <v>MARL971121MDFRDN04</v>
      </c>
      <c r="F28" s="18" t="str">
        <f>'CALCULO Y BASE'!F27</f>
        <v>SPC</v>
      </c>
      <c r="G28" s="15">
        <f ca="1">'CALCULO Y BASE'!Y27</f>
        <v>3760.6599200000001</v>
      </c>
      <c r="H28" s="19">
        <f ca="1">'CALCULO Y BASE'!X27</f>
        <v>382.46</v>
      </c>
      <c r="I28" s="20">
        <f>'CALCULO Y BASE'!AB27</f>
        <v>0</v>
      </c>
      <c r="J28" s="15">
        <f ca="1">'CALCULO Y BASE'!W27</f>
        <v>203.30008000000004</v>
      </c>
      <c r="K28" s="20">
        <f>'CALCULO Y BASE'!AA27</f>
        <v>90.234999999999999</v>
      </c>
      <c r="L28" s="20">
        <f>'CALCULO Y BASE'!AC27</f>
        <v>0</v>
      </c>
      <c r="M28" s="20">
        <f ca="1">'CALCULO Y BASE'!AD27</f>
        <v>3670.4249199999999</v>
      </c>
    </row>
    <row r="29" spans="1:13" x14ac:dyDescent="0.25">
      <c r="A29" s="18">
        <v>403</v>
      </c>
      <c r="B29" s="106" t="str">
        <f>'CALCULO Y BASE'!B28</f>
        <v>WENDY KARINA NAJERA VILLAFAÑA</v>
      </c>
      <c r="C29" s="18">
        <f>'CALCULO Y BASE'!C28</f>
        <v>39129005318</v>
      </c>
      <c r="D29" s="18" t="str">
        <f>'CALCULO Y BASE'!D28</f>
        <v>NAVW900811VD3</v>
      </c>
      <c r="E29" s="18" t="str">
        <f>'CALCULO Y BASE'!E28</f>
        <v>NAVW900811MDFJLN01</v>
      </c>
      <c r="F29" s="18" t="str">
        <f>'CALCULO Y BASE'!F28</f>
        <v>SMH</v>
      </c>
      <c r="G29" s="15">
        <f ca="1">'CALCULO Y BASE'!Y28</f>
        <v>3760.6599200000001</v>
      </c>
      <c r="H29" s="19">
        <f ca="1">'CALCULO Y BASE'!X28</f>
        <v>382.46</v>
      </c>
      <c r="I29" s="20">
        <f>'CALCULO Y BASE'!AB28</f>
        <v>0</v>
      </c>
      <c r="J29" s="15">
        <f ca="1">'CALCULO Y BASE'!W28</f>
        <v>203.30008000000004</v>
      </c>
      <c r="K29" s="20">
        <f>'CALCULO Y BASE'!AA28</f>
        <v>90.234999999999999</v>
      </c>
      <c r="L29" s="20">
        <f>'CALCULO Y BASE'!AC28</f>
        <v>0</v>
      </c>
      <c r="M29" s="20">
        <f ca="1">'CALCULO Y BASE'!AD28</f>
        <v>3670.4249199999999</v>
      </c>
    </row>
    <row r="30" spans="1:13" x14ac:dyDescent="0.25">
      <c r="A30" s="18">
        <v>423</v>
      </c>
      <c r="B30" s="106" t="str">
        <f>'CALCULO Y BASE'!B29</f>
        <v>DIANA ANDREA MOYA MANRIQUE</v>
      </c>
      <c r="C30" s="18">
        <f>'CALCULO Y BASE'!C29</f>
        <v>39149935999</v>
      </c>
      <c r="D30" s="18" t="str">
        <f>'CALCULO Y BASE'!D29</f>
        <v>MOMD9902126G2</v>
      </c>
      <c r="E30" s="18" t="str">
        <f>'CALCULO Y BASE'!E29</f>
        <v>MOMD990212MDFYNN06</v>
      </c>
      <c r="F30" s="18" t="str">
        <f>'CALCULO Y BASE'!F29</f>
        <v>SSJ</v>
      </c>
      <c r="G30" s="15">
        <f ca="1">'CALCULO Y BASE'!Y29</f>
        <v>3760.6599200000001</v>
      </c>
      <c r="H30" s="19">
        <f ca="1">'CALCULO Y BASE'!X29</f>
        <v>382.46</v>
      </c>
      <c r="I30" s="20">
        <f>'CALCULO Y BASE'!AB29</f>
        <v>0</v>
      </c>
      <c r="J30" s="15">
        <f ca="1">'CALCULO Y BASE'!W29</f>
        <v>203.30008000000004</v>
      </c>
      <c r="K30" s="20">
        <f>'CALCULO Y BASE'!AA29</f>
        <v>90.234999999999999</v>
      </c>
      <c r="L30" s="20">
        <f>'CALCULO Y BASE'!AC29</f>
        <v>0</v>
      </c>
      <c r="M30" s="20">
        <f ca="1">'CALCULO Y BASE'!AD29</f>
        <v>3670.4249199999999</v>
      </c>
    </row>
    <row r="31" spans="1:13" x14ac:dyDescent="0.25">
      <c r="A31" s="18">
        <v>425</v>
      </c>
      <c r="B31" s="106" t="str">
        <f>'CALCULO Y BASE'!B30</f>
        <v>UZZIEL OSMAR PIÑA CABALLERO</v>
      </c>
      <c r="C31" s="18">
        <f>'CALCULO Y BASE'!C30</f>
        <v>45109513908</v>
      </c>
      <c r="D31" s="18" t="str">
        <f>'CALCULO Y BASE'!D30</f>
        <v>PICU950611N87</v>
      </c>
      <c r="E31" s="18" t="str">
        <f>'CALCULO Y BASE'!E30</f>
        <v>PICU950611HDFXBZ04</v>
      </c>
      <c r="F31" s="18" t="str">
        <f>'CALCULO Y BASE'!F30</f>
        <v>SSF</v>
      </c>
      <c r="G31" s="15">
        <f ca="1">'CALCULO Y BASE'!Y30</f>
        <v>3760.6599200000001</v>
      </c>
      <c r="H31" s="19">
        <f ca="1">'CALCULO Y BASE'!X30</f>
        <v>382.46</v>
      </c>
      <c r="I31" s="20">
        <f>'CALCULO Y BASE'!AB30</f>
        <v>0</v>
      </c>
      <c r="J31" s="15">
        <f ca="1">'CALCULO Y BASE'!W30</f>
        <v>203.30008000000004</v>
      </c>
      <c r="K31" s="20">
        <f>'CALCULO Y BASE'!AA30</f>
        <v>90.234999999999999</v>
      </c>
      <c r="L31" s="20">
        <f>'CALCULO Y BASE'!AC30</f>
        <v>0</v>
      </c>
      <c r="M31" s="20">
        <f ca="1">'CALCULO Y BASE'!AD30</f>
        <v>3670.4249199999999</v>
      </c>
    </row>
    <row r="32" spans="1:13" x14ac:dyDescent="0.25">
      <c r="A32" s="18">
        <v>426</v>
      </c>
      <c r="B32" s="106" t="str">
        <f>'CALCULO Y BASE'!B31</f>
        <v>CLAUDIA COLUMBA RODRIGUEZ DIAZ</v>
      </c>
      <c r="C32" s="18">
        <f>'CALCULO Y BASE'!C31</f>
        <v>20917243774</v>
      </c>
      <c r="D32" s="18" t="str">
        <f>'CALCULO Y BASE'!D31</f>
        <v>RODC7205202E9</v>
      </c>
      <c r="E32" s="18" t="str">
        <f>'CALCULO Y BASE'!E31</f>
        <v>RODC720520MDFDZL05</v>
      </c>
      <c r="F32" s="18" t="str">
        <f>'CALCULO Y BASE'!F31</f>
        <v>SPC</v>
      </c>
      <c r="G32" s="15">
        <f ca="1">'CALCULO Y BASE'!Y31</f>
        <v>3760.6599200000001</v>
      </c>
      <c r="H32" s="19">
        <f ca="1">'CALCULO Y BASE'!X31</f>
        <v>382.46</v>
      </c>
      <c r="I32" s="20">
        <f>'CALCULO Y BASE'!AB31</f>
        <v>0</v>
      </c>
      <c r="J32" s="15">
        <f ca="1">'CALCULO Y BASE'!W31</f>
        <v>203.30008000000004</v>
      </c>
      <c r="K32" s="20">
        <f>'CALCULO Y BASE'!AA31</f>
        <v>90.234999999999999</v>
      </c>
      <c r="L32" s="20">
        <f>'CALCULO Y BASE'!AC31</f>
        <v>0</v>
      </c>
      <c r="M32" s="20">
        <f ca="1">'CALCULO Y BASE'!AD31</f>
        <v>3670.4249199999999</v>
      </c>
    </row>
    <row r="33" spans="1:13" x14ac:dyDescent="0.25">
      <c r="A33" s="18">
        <v>440</v>
      </c>
      <c r="B33" s="106" t="str">
        <f>'CALCULO Y BASE'!B32</f>
        <v>AXEL MANUEL OROZCO CASTILLO</v>
      </c>
      <c r="C33" s="18">
        <f>'CALCULO Y BASE'!C32</f>
        <v>25149337872</v>
      </c>
      <c r="D33" s="18" t="str">
        <f>'CALCULO Y BASE'!D32</f>
        <v>OOCA930506E92</v>
      </c>
      <c r="E33" s="18" t="str">
        <f>'CALCULO Y BASE'!E32</f>
        <v>OOCA930506HDFRSX04</v>
      </c>
      <c r="F33" s="18" t="str">
        <f>'CALCULO Y BASE'!F32</f>
        <v>SSF</v>
      </c>
      <c r="G33" s="15">
        <f ca="1">'CALCULO Y BASE'!Y32</f>
        <v>3760.6599200000001</v>
      </c>
      <c r="H33" s="19">
        <f ca="1">'CALCULO Y BASE'!X32</f>
        <v>382.46</v>
      </c>
      <c r="I33" s="20">
        <f>'CALCULO Y BASE'!AB32</f>
        <v>0</v>
      </c>
      <c r="J33" s="15">
        <f ca="1">'CALCULO Y BASE'!W32</f>
        <v>203.30008000000004</v>
      </c>
      <c r="K33" s="20">
        <f>'CALCULO Y BASE'!AA32</f>
        <v>90.234999999999999</v>
      </c>
      <c r="L33" s="20">
        <f>'CALCULO Y BASE'!AC32</f>
        <v>0</v>
      </c>
      <c r="M33" s="20">
        <f ca="1">'CALCULO Y BASE'!AD32</f>
        <v>3670.4249199999999</v>
      </c>
    </row>
    <row r="34" spans="1:13" x14ac:dyDescent="0.25">
      <c r="A34" s="18">
        <v>441</v>
      </c>
      <c r="B34" s="106" t="str">
        <f>'CALCULO Y BASE'!B33</f>
        <v>ALONSO NAHUI GUZMAN NAVA</v>
      </c>
      <c r="C34" s="18">
        <f>'CALCULO Y BASE'!C33</f>
        <v>45149958212</v>
      </c>
      <c r="D34" s="18" t="str">
        <f>'CALCULO Y BASE'!D33</f>
        <v>GUNA990904QT1</v>
      </c>
      <c r="E34" s="18" t="str">
        <f>'CALCULO Y BASE'!E33</f>
        <v>GUNA990904HDFZVL01</v>
      </c>
      <c r="F34" s="18" t="str">
        <f>'CALCULO Y BASE'!F33</f>
        <v>SPD</v>
      </c>
      <c r="G34" s="15">
        <f ca="1">'CALCULO Y BASE'!Y33</f>
        <v>3760.6599200000001</v>
      </c>
      <c r="H34" s="19">
        <f ca="1">'CALCULO Y BASE'!X33</f>
        <v>382.46</v>
      </c>
      <c r="I34" s="20">
        <f>'CALCULO Y BASE'!AB33</f>
        <v>0</v>
      </c>
      <c r="J34" s="15">
        <f ca="1">'CALCULO Y BASE'!W33</f>
        <v>203.30008000000004</v>
      </c>
      <c r="K34" s="20">
        <f>'CALCULO Y BASE'!AA33</f>
        <v>90.234999999999999</v>
      </c>
      <c r="L34" s="20">
        <f>'CALCULO Y BASE'!AC33</f>
        <v>0</v>
      </c>
      <c r="M34" s="20">
        <f ca="1">'CALCULO Y BASE'!AD33</f>
        <v>3670.4249199999999</v>
      </c>
    </row>
    <row r="35" spans="1:13" x14ac:dyDescent="0.25">
      <c r="A35" s="18">
        <v>464</v>
      </c>
      <c r="B35" s="106" t="str">
        <f>'CALCULO Y BASE'!B34</f>
        <v>MARIA DEL CARMEN GUERRA HERNANDEZ</v>
      </c>
      <c r="C35" s="18">
        <f>'CALCULO Y BASE'!C34</f>
        <v>45139314913</v>
      </c>
      <c r="D35" s="18" t="str">
        <f>'CALCULO Y BASE'!D34</f>
        <v>GUHC930711HI3</v>
      </c>
      <c r="E35" s="18" t="str">
        <f>'CALCULO Y BASE'!E34</f>
        <v>GUHC930711MPLRRR02</v>
      </c>
      <c r="F35" s="18" t="str">
        <f>'CALCULO Y BASE'!F34</f>
        <v>SSF</v>
      </c>
      <c r="G35" s="15">
        <f ca="1">'CALCULO Y BASE'!Y34</f>
        <v>3760.6599200000001</v>
      </c>
      <c r="H35" s="19">
        <f ca="1">'CALCULO Y BASE'!X34</f>
        <v>382.46</v>
      </c>
      <c r="I35" s="20">
        <f>'CALCULO Y BASE'!AB34</f>
        <v>0</v>
      </c>
      <c r="J35" s="15">
        <f ca="1">'CALCULO Y BASE'!W34</f>
        <v>203.30008000000004</v>
      </c>
      <c r="K35" s="20">
        <f>'CALCULO Y BASE'!AA34</f>
        <v>90.234999999999999</v>
      </c>
      <c r="L35" s="20">
        <f>'CALCULO Y BASE'!AC34</f>
        <v>0</v>
      </c>
      <c r="M35" s="20">
        <f ca="1">'CALCULO Y BASE'!AD34</f>
        <v>3670.4249199999999</v>
      </c>
    </row>
    <row r="36" spans="1:13" x14ac:dyDescent="0.25">
      <c r="A36" s="18">
        <v>481</v>
      </c>
      <c r="B36" s="106" t="str">
        <f>'CALCULO Y BASE'!B35</f>
        <v>VIRIDIAN ALVAREZ RODRIGUEZ</v>
      </c>
      <c r="C36" s="18">
        <f>'CALCULO Y BASE'!C35</f>
        <v>45139745496</v>
      </c>
      <c r="D36" s="18" t="str">
        <f>'CALCULO Y BASE'!D35</f>
        <v>AARV970103JZ4</v>
      </c>
      <c r="E36" s="18" t="str">
        <f>'CALCULO Y BASE'!E35</f>
        <v>AARV970103MDFLDR09</v>
      </c>
      <c r="F36" s="18" t="str">
        <f>'CALCULO Y BASE'!F35</f>
        <v>SSF</v>
      </c>
      <c r="G36" s="15">
        <f ca="1">'CALCULO Y BASE'!Y35</f>
        <v>3760.6599200000001</v>
      </c>
      <c r="H36" s="19">
        <f ca="1">'CALCULO Y BASE'!X35</f>
        <v>382.46</v>
      </c>
      <c r="I36" s="20">
        <f>'CALCULO Y BASE'!AB35</f>
        <v>0</v>
      </c>
      <c r="J36" s="15">
        <f ca="1">'CALCULO Y BASE'!W35</f>
        <v>203.30008000000004</v>
      </c>
      <c r="K36" s="20">
        <f>'CALCULO Y BASE'!AA35</f>
        <v>90.234999999999999</v>
      </c>
      <c r="L36" s="20">
        <f>'CALCULO Y BASE'!AC35</f>
        <v>0</v>
      </c>
      <c r="M36" s="20">
        <f ca="1">'CALCULO Y BASE'!AD35</f>
        <v>3670.4249199999999</v>
      </c>
    </row>
    <row r="37" spans="1:13" x14ac:dyDescent="0.25">
      <c r="A37" s="18">
        <v>491</v>
      </c>
      <c r="B37" s="106" t="str">
        <f>'CALCULO Y BASE'!B36</f>
        <v>ALEJANDRA HERNANDEZ JUAREZ</v>
      </c>
      <c r="C37" s="18">
        <f>'CALCULO Y BASE'!C36</f>
        <v>8159669533</v>
      </c>
      <c r="D37" s="18" t="str">
        <f>'CALCULO Y BASE'!D36</f>
        <v>HEJA9604106P9</v>
      </c>
      <c r="E37" s="18" t="str">
        <f>'CALCULO Y BASE'!E36</f>
        <v>HEJA960410MDFRRL02</v>
      </c>
      <c r="F37" s="18" t="str">
        <f>'CALCULO Y BASE'!F36</f>
        <v>SAJ</v>
      </c>
      <c r="G37" s="15">
        <f ca="1">'CALCULO Y BASE'!Y36</f>
        <v>3760.6599200000001</v>
      </c>
      <c r="H37" s="19">
        <f ca="1">'CALCULO Y BASE'!X36</f>
        <v>382.46</v>
      </c>
      <c r="I37" s="20">
        <f>'CALCULO Y BASE'!AB36</f>
        <v>0</v>
      </c>
      <c r="J37" s="15">
        <f ca="1">'CALCULO Y BASE'!W36</f>
        <v>203.30008000000004</v>
      </c>
      <c r="K37" s="20">
        <f>'CALCULO Y BASE'!AA36</f>
        <v>90.234999999999999</v>
      </c>
      <c r="L37" s="20">
        <f>'CALCULO Y BASE'!AC36</f>
        <v>0</v>
      </c>
      <c r="M37" s="20">
        <f ca="1">'CALCULO Y BASE'!AD36</f>
        <v>3670.4249199999999</v>
      </c>
    </row>
    <row r="38" spans="1:13" x14ac:dyDescent="0.25">
      <c r="A38" s="18">
        <v>513</v>
      </c>
      <c r="B38" s="106" t="str">
        <f>'CALCULO Y BASE'!B37</f>
        <v>ARACELI ESTRADA ROMERO</v>
      </c>
      <c r="C38" s="18">
        <f>'CALCULO Y BASE'!C37</f>
        <v>6836500915</v>
      </c>
      <c r="D38" s="18" t="str">
        <f>'CALCULO Y BASE'!D37</f>
        <v>EARA651013IC7</v>
      </c>
      <c r="E38" s="18" t="str">
        <f>'CALCULO Y BASE'!E37</f>
        <v>EARA651013MDFSMR08</v>
      </c>
      <c r="F38" s="18" t="str">
        <f>'CALCULO Y BASE'!F37</f>
        <v>ACF</v>
      </c>
      <c r="G38" s="15">
        <f ca="1">'CALCULO Y BASE'!Y37</f>
        <v>3760.6599200000001</v>
      </c>
      <c r="H38" s="19">
        <f ca="1">'CALCULO Y BASE'!X37</f>
        <v>382.46</v>
      </c>
      <c r="I38" s="20">
        <f>'CALCULO Y BASE'!AB37</f>
        <v>0</v>
      </c>
      <c r="J38" s="15">
        <f ca="1">'CALCULO Y BASE'!W37</f>
        <v>203.30008000000004</v>
      </c>
      <c r="K38" s="20">
        <f>'CALCULO Y BASE'!AA37</f>
        <v>90.234999999999999</v>
      </c>
      <c r="L38" s="20">
        <f>'CALCULO Y BASE'!AC37</f>
        <v>0</v>
      </c>
      <c r="M38" s="20">
        <f ca="1">'CALCULO Y BASE'!AD37</f>
        <v>3670.4249199999999</v>
      </c>
    </row>
    <row r="39" spans="1:13" x14ac:dyDescent="0.25">
      <c r="A39" s="18">
        <v>514</v>
      </c>
      <c r="B39" s="106" t="str">
        <f>'CALCULO Y BASE'!B38</f>
        <v>KARLA AURORA BRAVO DOMINGUEZ</v>
      </c>
      <c r="C39" s="18">
        <f>'CALCULO Y BASE'!C38</f>
        <v>39139818106</v>
      </c>
      <c r="D39" s="18" t="str">
        <f>'CALCULO Y BASE'!D38</f>
        <v>BADK9802134D7</v>
      </c>
      <c r="E39" s="18" t="str">
        <f>'CALCULO Y BASE'!E38</f>
        <v>BADK980213MVZRMR07</v>
      </c>
      <c r="F39" s="18" t="str">
        <f>'CALCULO Y BASE'!F38</f>
        <v>SPC</v>
      </c>
      <c r="G39" s="15">
        <f ca="1">'CALCULO Y BASE'!Y38</f>
        <v>3760.6599200000001</v>
      </c>
      <c r="H39" s="19">
        <f ca="1">'CALCULO Y BASE'!X38</f>
        <v>382.46</v>
      </c>
      <c r="I39" s="20">
        <f>'CALCULO Y BASE'!AB38</f>
        <v>0</v>
      </c>
      <c r="J39" s="15">
        <f ca="1">'CALCULO Y BASE'!W38</f>
        <v>203.30008000000004</v>
      </c>
      <c r="K39" s="20">
        <f>'CALCULO Y BASE'!AA38</f>
        <v>90.234999999999999</v>
      </c>
      <c r="L39" s="20">
        <f>'CALCULO Y BASE'!AC38</f>
        <v>0</v>
      </c>
      <c r="M39" s="20">
        <f ca="1">'CALCULO Y BASE'!AD38</f>
        <v>3670.4249199999999</v>
      </c>
    </row>
    <row r="40" spans="1:13" x14ac:dyDescent="0.25">
      <c r="A40" s="18">
        <f>'CALCULO Y BASE'!A39</f>
        <v>518</v>
      </c>
      <c r="B40" s="106" t="str">
        <f>'CALCULO Y BASE'!B39</f>
        <v>CARLOS JOHAN REYES RODRIGUEZ</v>
      </c>
      <c r="C40" s="18">
        <f>'CALCULO Y BASE'!C39</f>
        <v>39149938894</v>
      </c>
      <c r="D40" s="18" t="str">
        <f>'CALCULO Y BASE'!D39</f>
        <v>RERC990217GTA</v>
      </c>
      <c r="E40" s="18" t="str">
        <f>'CALCULO Y BASE'!E39</f>
        <v>RERC990217HDFYDR04</v>
      </c>
      <c r="F40" s="18" t="str">
        <f>'CALCULO Y BASE'!F39</f>
        <v>SPD</v>
      </c>
      <c r="G40" s="15">
        <f ca="1">'CALCULO Y BASE'!Y39</f>
        <v>3760.6599200000001</v>
      </c>
      <c r="H40" s="19">
        <f ca="1">'CALCULO Y BASE'!X39</f>
        <v>382.46</v>
      </c>
      <c r="I40" s="20">
        <f>'CALCULO Y BASE'!AB39</f>
        <v>0</v>
      </c>
      <c r="J40" s="15">
        <f ca="1">'CALCULO Y BASE'!W39</f>
        <v>203.30008000000004</v>
      </c>
      <c r="K40" s="20">
        <f>'CALCULO Y BASE'!AA39</f>
        <v>90.234999999999999</v>
      </c>
      <c r="L40" s="20">
        <f>'CALCULO Y BASE'!AC39</f>
        <v>0</v>
      </c>
      <c r="M40" s="20">
        <f ca="1">'CALCULO Y BASE'!AD39</f>
        <v>3670.4249199999999</v>
      </c>
    </row>
    <row r="41" spans="1:13" x14ac:dyDescent="0.25">
      <c r="A41" s="18">
        <f>'CALCULO Y BASE'!A40</f>
        <v>522</v>
      </c>
      <c r="B41" s="106" t="str">
        <f>'CALCULO Y BASE'!B40</f>
        <v>JESUS GARRIDO TELLEZ</v>
      </c>
      <c r="C41" s="18">
        <f>'CALCULO Y BASE'!C40</f>
        <v>2179442773</v>
      </c>
      <c r="D41" s="18" t="str">
        <f>'CALCULO Y BASE'!D40</f>
        <v>GATJ940123E89</v>
      </c>
      <c r="E41" s="18" t="str">
        <f>'CALCULO Y BASE'!E40</f>
        <v>GATJ940123HDFRLS03</v>
      </c>
      <c r="F41" s="18" t="str">
        <f>'CALCULO Y BASE'!F40</f>
        <v>SSJ</v>
      </c>
      <c r="G41" s="15">
        <f ca="1">'CALCULO Y BASE'!Y40</f>
        <v>3760.6599200000001</v>
      </c>
      <c r="H41" s="19">
        <f ca="1">'CALCULO Y BASE'!X40</f>
        <v>382.46</v>
      </c>
      <c r="I41" s="20">
        <f>'CALCULO Y BASE'!AB40</f>
        <v>0</v>
      </c>
      <c r="J41" s="15">
        <f ca="1">'CALCULO Y BASE'!W40</f>
        <v>203.30008000000004</v>
      </c>
      <c r="K41" s="20">
        <f>'CALCULO Y BASE'!AA40</f>
        <v>90.234999999999999</v>
      </c>
      <c r="L41" s="20">
        <f>'CALCULO Y BASE'!AC40</f>
        <v>0</v>
      </c>
      <c r="M41" s="20">
        <f ca="1">'CALCULO Y BASE'!AD40</f>
        <v>3670.4249199999999</v>
      </c>
    </row>
    <row r="42" spans="1:13" x14ac:dyDescent="0.25">
      <c r="A42" s="18">
        <f>'CALCULO Y BASE'!A41</f>
        <v>530</v>
      </c>
      <c r="B42" s="106" t="str">
        <f>'CALCULO Y BASE'!B41</f>
        <v>LUIS ALAN CERVANTES CONTRERAS</v>
      </c>
      <c r="C42" s="18">
        <f>'CALCULO Y BASE'!C41</f>
        <v>62169926607</v>
      </c>
      <c r="D42" s="18" t="str">
        <f>'CALCULO Y BASE'!D41</f>
        <v>CECL990212N35</v>
      </c>
      <c r="E42" s="18" t="str">
        <f>'CALCULO Y BASE'!E41</f>
        <v>CECL990212HDFRNS00</v>
      </c>
      <c r="F42" s="18" t="str">
        <f>'CALCULO Y BASE'!F41</f>
        <v>SPC</v>
      </c>
      <c r="G42" s="15">
        <f ca="1">'CALCULO Y BASE'!Y41</f>
        <v>3760.6599200000001</v>
      </c>
      <c r="H42" s="19">
        <f ca="1">'CALCULO Y BASE'!X41</f>
        <v>382.46</v>
      </c>
      <c r="I42" s="20">
        <f>'CALCULO Y BASE'!AB41</f>
        <v>0</v>
      </c>
      <c r="J42" s="15">
        <f ca="1">'CALCULO Y BASE'!W41</f>
        <v>203.30008000000004</v>
      </c>
      <c r="K42" s="20">
        <f>'CALCULO Y BASE'!AA41</f>
        <v>90.234999999999999</v>
      </c>
      <c r="L42" s="20">
        <f>'CALCULO Y BASE'!AC41</f>
        <v>0</v>
      </c>
      <c r="M42" s="20">
        <f ca="1">'CALCULO Y BASE'!AD41</f>
        <v>3670.4249199999999</v>
      </c>
    </row>
    <row r="43" spans="1:13" x14ac:dyDescent="0.25">
      <c r="A43" s="18">
        <f>'CALCULO Y BASE'!A42</f>
        <v>541</v>
      </c>
      <c r="B43" s="106" t="str">
        <f>'CALCULO Y BASE'!B42</f>
        <v>VALERIA TOVAR CASTILLO</v>
      </c>
      <c r="C43" s="18">
        <f>'CALCULO Y BASE'!C42</f>
        <v>39149706077</v>
      </c>
      <c r="D43" s="18" t="str">
        <f>'CALCULO Y BASE'!D42</f>
        <v>TOCV971204C11</v>
      </c>
      <c r="E43" s="18" t="str">
        <f>'CALCULO Y BASE'!E42</f>
        <v>TOCV971204MDFVSL00</v>
      </c>
      <c r="F43" s="18" t="str">
        <f>'CALCULO Y BASE'!F42</f>
        <v>SSJ</v>
      </c>
      <c r="G43" s="15">
        <f ca="1">'CALCULO Y BASE'!Y42</f>
        <v>3760.6599200000001</v>
      </c>
      <c r="H43" s="19">
        <f ca="1">'CALCULO Y BASE'!X42</f>
        <v>382.46</v>
      </c>
      <c r="I43" s="20">
        <f>'CALCULO Y BASE'!AB42</f>
        <v>0</v>
      </c>
      <c r="J43" s="15">
        <f ca="1">'CALCULO Y BASE'!W42</f>
        <v>203.30008000000004</v>
      </c>
      <c r="K43" s="20">
        <f>'CALCULO Y BASE'!AA42</f>
        <v>90.234999999999999</v>
      </c>
      <c r="L43" s="20">
        <f>'CALCULO Y BASE'!AC42</f>
        <v>0</v>
      </c>
      <c r="M43" s="20">
        <f ca="1">'CALCULO Y BASE'!AD42</f>
        <v>3670.4249199999999</v>
      </c>
    </row>
    <row r="44" spans="1:13" x14ac:dyDescent="0.25">
      <c r="A44" s="18">
        <f>'CALCULO Y BASE'!A43</f>
        <v>547</v>
      </c>
      <c r="B44" s="106" t="str">
        <f>'CALCULO Y BASE'!B43</f>
        <v>KAREN ITZEL REYES PEREZ</v>
      </c>
      <c r="C44" s="18">
        <f>'CALCULO Y BASE'!C43</f>
        <v>39090000520</v>
      </c>
      <c r="D44" s="18" t="str">
        <f>'CALCULO Y BASE'!D43</f>
        <v>REPK000920N55</v>
      </c>
      <c r="E44" s="18" t="str">
        <f>'CALCULO Y BASE'!E43</f>
        <v>REPK000920MDFYRRA5</v>
      </c>
      <c r="F44" s="18" t="str">
        <f>'CALCULO Y BASE'!F43</f>
        <v>SPC</v>
      </c>
      <c r="G44" s="15">
        <f ca="1">'CALCULO Y BASE'!Y43</f>
        <v>3760.6599200000001</v>
      </c>
      <c r="H44" s="19">
        <f ca="1">'CALCULO Y BASE'!X43</f>
        <v>382.46</v>
      </c>
      <c r="I44" s="20">
        <f>'CALCULO Y BASE'!AB43</f>
        <v>0</v>
      </c>
      <c r="J44" s="15">
        <f ca="1">'CALCULO Y BASE'!W43</f>
        <v>203.30008000000004</v>
      </c>
      <c r="K44" s="20">
        <f>'CALCULO Y BASE'!AA43</f>
        <v>90.234999999999999</v>
      </c>
      <c r="L44" s="20">
        <f>'CALCULO Y BASE'!AC43</f>
        <v>0</v>
      </c>
      <c r="M44" s="20">
        <f ca="1">'CALCULO Y BASE'!AD43</f>
        <v>3670.4249199999999</v>
      </c>
    </row>
    <row r="45" spans="1:13" x14ac:dyDescent="0.25">
      <c r="A45" s="18">
        <f>'CALCULO Y BASE'!A44</f>
        <v>550</v>
      </c>
      <c r="B45" s="106" t="str">
        <f>'CALCULO Y BASE'!B44</f>
        <v>CITLALY ODET ORDOÑEZ CORONA</v>
      </c>
      <c r="C45" s="18">
        <f>'CALCULO Y BASE'!C44</f>
        <v>39139563272</v>
      </c>
      <c r="D45" s="18" t="str">
        <f>'CALCULO Y BASE'!D44</f>
        <v>OOCC9502211D3</v>
      </c>
      <c r="E45" s="18" t="str">
        <f>'CALCULO Y BASE'!E44</f>
        <v>OOCC950221MDFRRT10</v>
      </c>
      <c r="F45" s="18" t="str">
        <f>'CALCULO Y BASE'!F44</f>
        <v>SAJ</v>
      </c>
      <c r="G45" s="15">
        <f ca="1">'CALCULO Y BASE'!Y44</f>
        <v>3760.6599200000001</v>
      </c>
      <c r="H45" s="19">
        <f ca="1">'CALCULO Y BASE'!X44</f>
        <v>382.46</v>
      </c>
      <c r="I45" s="20">
        <f>'CALCULO Y BASE'!AB44</f>
        <v>0</v>
      </c>
      <c r="J45" s="15">
        <f ca="1">'CALCULO Y BASE'!W44</f>
        <v>203.30008000000004</v>
      </c>
      <c r="K45" s="20">
        <f>'CALCULO Y BASE'!AA44</f>
        <v>90.234999999999999</v>
      </c>
      <c r="L45" s="20">
        <f>'CALCULO Y BASE'!AC44</f>
        <v>0</v>
      </c>
      <c r="M45" s="20">
        <f ca="1">'CALCULO Y BASE'!AD44</f>
        <v>3670.4249199999999</v>
      </c>
    </row>
    <row r="46" spans="1:13" x14ac:dyDescent="0.25">
      <c r="A46" s="18">
        <f>'CALCULO Y BASE'!A45</f>
        <v>552</v>
      </c>
      <c r="B46" s="106" t="str">
        <f>'CALCULO Y BASE'!B45</f>
        <v>SEBASTIAN CHAVEZ GOMEZ</v>
      </c>
      <c r="C46" s="18">
        <f>'CALCULO Y BASE'!C45</f>
        <v>46160032697</v>
      </c>
      <c r="D46" s="18" t="str">
        <f>'CALCULO Y BASE'!D45</f>
        <v>CAGS000214DG1</v>
      </c>
      <c r="E46" s="18" t="str">
        <f>'CALCULO Y BASE'!E45</f>
        <v>CAGS000214HDFHMBA2</v>
      </c>
      <c r="F46" s="18" t="str">
        <f>'CALCULO Y BASE'!F45</f>
        <v>SPC</v>
      </c>
      <c r="G46" s="15">
        <f ca="1">'CALCULO Y BASE'!Y45</f>
        <v>3760.6599200000001</v>
      </c>
      <c r="H46" s="19">
        <f ca="1">'CALCULO Y BASE'!X45</f>
        <v>382.46</v>
      </c>
      <c r="I46" s="20">
        <f>'CALCULO Y BASE'!AB45</f>
        <v>0</v>
      </c>
      <c r="J46" s="15">
        <f ca="1">'CALCULO Y BASE'!W45</f>
        <v>203.30008000000004</v>
      </c>
      <c r="K46" s="20">
        <f>'CALCULO Y BASE'!AA45</f>
        <v>90.234999999999999</v>
      </c>
      <c r="L46" s="20">
        <f>'CALCULO Y BASE'!AC45</f>
        <v>0</v>
      </c>
      <c r="M46" s="20">
        <f ca="1">'CALCULO Y BASE'!AD45</f>
        <v>3670.4249199999999</v>
      </c>
    </row>
    <row r="47" spans="1:13" x14ac:dyDescent="0.25">
      <c r="A47" s="18">
        <f>'CALCULO Y BASE'!A46</f>
        <v>554</v>
      </c>
      <c r="B47" s="106" t="str">
        <f>'CALCULO Y BASE'!B46</f>
        <v>MICHAEL ANGELLO BRAVO DOMINGUEZ</v>
      </c>
      <c r="C47" s="18">
        <f>'CALCULO Y BASE'!C46</f>
        <v>39139419202</v>
      </c>
      <c r="D47" s="18" t="str">
        <f>'CALCULO Y BASE'!D46</f>
        <v>BADM9402052Y0</v>
      </c>
      <c r="E47" s="18" t="str">
        <f>'CALCULO Y BASE'!E46</f>
        <v>BADM940205HVZRMC09</v>
      </c>
      <c r="F47" s="18" t="str">
        <f>'CALCULO Y BASE'!F46</f>
        <v>SAJ</v>
      </c>
      <c r="G47" s="15">
        <f ca="1">'CALCULO Y BASE'!Y46</f>
        <v>3760.6599200000001</v>
      </c>
      <c r="H47" s="19">
        <f ca="1">'CALCULO Y BASE'!X46</f>
        <v>382.46</v>
      </c>
      <c r="I47" s="20">
        <f>'CALCULO Y BASE'!AB46</f>
        <v>0</v>
      </c>
      <c r="J47" s="15">
        <f ca="1">'CALCULO Y BASE'!W46</f>
        <v>203.30008000000004</v>
      </c>
      <c r="K47" s="20">
        <f>'CALCULO Y BASE'!AA46</f>
        <v>90.234999999999999</v>
      </c>
      <c r="L47" s="20">
        <f>'CALCULO Y BASE'!AC46</f>
        <v>0</v>
      </c>
      <c r="M47" s="20">
        <f ca="1">'CALCULO Y BASE'!AD46</f>
        <v>3670.4249199999999</v>
      </c>
    </row>
    <row r="48" spans="1:13" x14ac:dyDescent="0.25">
      <c r="A48" s="18">
        <f>'CALCULO Y BASE'!A47</f>
        <v>566</v>
      </c>
      <c r="B48" s="106" t="str">
        <f>'CALCULO Y BASE'!B47</f>
        <v>CRISTINA YOVANNE SANTANA TAPIA</v>
      </c>
      <c r="C48" s="18">
        <f>'CALCULO Y BASE'!C47</f>
        <v>38149322208</v>
      </c>
      <c r="D48" s="18" t="str">
        <f>'CALCULO Y BASE'!D47</f>
        <v>SATC930618MY4</v>
      </c>
      <c r="E48" s="18" t="str">
        <f>'CALCULO Y BASE'!E47</f>
        <v>SATC930618MDFNPR05</v>
      </c>
      <c r="F48" s="18" t="str">
        <f>'CALCULO Y BASE'!F47</f>
        <v>SAJ</v>
      </c>
      <c r="G48" s="15">
        <f ca="1">'CALCULO Y BASE'!Y47</f>
        <v>3760.6599200000001</v>
      </c>
      <c r="H48" s="19">
        <f ca="1">'CALCULO Y BASE'!X47</f>
        <v>382.46</v>
      </c>
      <c r="I48" s="20">
        <f>'CALCULO Y BASE'!AB47</f>
        <v>0</v>
      </c>
      <c r="J48" s="15">
        <f ca="1">'CALCULO Y BASE'!W47</f>
        <v>203.30008000000004</v>
      </c>
      <c r="K48" s="20">
        <f>'CALCULO Y BASE'!AA47</f>
        <v>90.234999999999999</v>
      </c>
      <c r="L48" s="20">
        <f>'CALCULO Y BASE'!AC47</f>
        <v>0</v>
      </c>
      <c r="M48" s="20">
        <f ca="1">'CALCULO Y BASE'!AD47</f>
        <v>3670.4249199999999</v>
      </c>
    </row>
    <row r="49" spans="1:13" x14ac:dyDescent="0.25">
      <c r="A49" s="18">
        <f>'CALCULO Y BASE'!A48</f>
        <v>567</v>
      </c>
      <c r="B49" s="106" t="str">
        <f>'CALCULO Y BASE'!B48</f>
        <v>MARIA ISABEL MONTALVO CONTRERAS</v>
      </c>
      <c r="C49" s="18">
        <f>'CALCULO Y BASE'!C48</f>
        <v>11987202311</v>
      </c>
      <c r="D49" s="18" t="str">
        <f>'CALCULO Y BASE'!D48</f>
        <v>MOCI720615VBA</v>
      </c>
      <c r="E49" s="18" t="str">
        <f>'CALCULO Y BASE'!E48</f>
        <v>MOCI720615MDFNNS01</v>
      </c>
      <c r="F49" s="18" t="str">
        <f>'CALCULO Y BASE'!F48</f>
        <v>SPD</v>
      </c>
      <c r="G49" s="15">
        <f ca="1">'CALCULO Y BASE'!Y48</f>
        <v>3760.6599200000001</v>
      </c>
      <c r="H49" s="19">
        <f ca="1">'CALCULO Y BASE'!X48</f>
        <v>382.46</v>
      </c>
      <c r="I49" s="20">
        <f>'CALCULO Y BASE'!AB48</f>
        <v>0</v>
      </c>
      <c r="J49" s="15">
        <f ca="1">'CALCULO Y BASE'!W48</f>
        <v>203.30008000000004</v>
      </c>
      <c r="K49" s="20">
        <f>'CALCULO Y BASE'!AA48</f>
        <v>90.234999999999999</v>
      </c>
      <c r="L49" s="20">
        <f>'CALCULO Y BASE'!AC48</f>
        <v>0</v>
      </c>
      <c r="M49" s="20">
        <f ca="1">'CALCULO Y BASE'!AD48</f>
        <v>3670.4249199999999</v>
      </c>
    </row>
    <row r="50" spans="1:13" x14ac:dyDescent="0.25">
      <c r="A50" s="18">
        <f>'CALCULO Y BASE'!A49</f>
        <v>573</v>
      </c>
      <c r="B50" s="106" t="str">
        <f>'CALCULO Y BASE'!B49</f>
        <v>MARIA FERNANDA CORTES VAZQUEZ</v>
      </c>
      <c r="C50" s="18">
        <f>'CALCULO Y BASE'!C49</f>
        <v>5149792730</v>
      </c>
      <c r="D50" s="18" t="str">
        <f>'CALCULO Y BASE'!D49</f>
        <v>COVF970320FA0</v>
      </c>
      <c r="E50" s="18" t="str">
        <f>'CALCULO Y BASE'!E49</f>
        <v>COVF970320MDFRZR07</v>
      </c>
      <c r="F50" s="18" t="str">
        <f>'CALCULO Y BASE'!F49</f>
        <v>SSJ</v>
      </c>
      <c r="G50" s="15">
        <f ca="1">'CALCULO Y BASE'!Y49</f>
        <v>8712.6283999999996</v>
      </c>
      <c r="H50" s="19">
        <f ca="1">'CALCULO Y BASE'!X49</f>
        <v>0</v>
      </c>
      <c r="I50" s="20">
        <f>'CALCULO Y BASE'!AB49</f>
        <v>0</v>
      </c>
      <c r="J50" s="15">
        <f ca="1">'CALCULO Y BASE'!W49</f>
        <v>840.84160000000008</v>
      </c>
      <c r="K50" s="20">
        <f>'CALCULO Y BASE'!AA49</f>
        <v>249.22495999999998</v>
      </c>
      <c r="L50" s="20">
        <f>'CALCULO Y BASE'!AC49</f>
        <v>0</v>
      </c>
      <c r="M50" s="20">
        <f ca="1">'CALCULO Y BASE'!AD49</f>
        <v>8463.40344</v>
      </c>
    </row>
    <row r="51" spans="1:13" x14ac:dyDescent="0.25">
      <c r="A51" s="18">
        <f>'CALCULO Y BASE'!A50</f>
        <v>576</v>
      </c>
      <c r="B51" s="106" t="str">
        <f>'CALCULO Y BASE'!B50</f>
        <v>ADRIANA LUCIA ESCOBEDO MAGDALENO</v>
      </c>
      <c r="C51" s="18">
        <f>'CALCULO Y BASE'!C50</f>
        <v>39119248225</v>
      </c>
      <c r="D51" s="18" t="str">
        <f>'CALCULO Y BASE'!D50</f>
        <v>EOMA920926TV3</v>
      </c>
      <c r="E51" s="18" t="str">
        <f>'CALCULO Y BASE'!E50</f>
        <v>EOMA920926MDFSGD01</v>
      </c>
      <c r="F51" s="18" t="str">
        <f>'CALCULO Y BASE'!F50</f>
        <v>SSJ</v>
      </c>
      <c r="G51" s="15">
        <f ca="1">'CALCULO Y BASE'!Y50</f>
        <v>3760.6599200000001</v>
      </c>
      <c r="H51" s="19">
        <f ca="1">'CALCULO Y BASE'!X50</f>
        <v>382.46</v>
      </c>
      <c r="I51" s="20">
        <f>'CALCULO Y BASE'!AB50</f>
        <v>0</v>
      </c>
      <c r="J51" s="15">
        <f ca="1">'CALCULO Y BASE'!W50</f>
        <v>203.30008000000004</v>
      </c>
      <c r="K51" s="20">
        <f>'CALCULO Y BASE'!AA50</f>
        <v>90.234999999999999</v>
      </c>
      <c r="L51" s="20">
        <f>'CALCULO Y BASE'!AC50</f>
        <v>0</v>
      </c>
      <c r="M51" s="20">
        <f ca="1">'CALCULO Y BASE'!AD50</f>
        <v>3670.4249199999999</v>
      </c>
    </row>
    <row r="52" spans="1:13" x14ac:dyDescent="0.25">
      <c r="A52" s="18">
        <f>'CALCULO Y BASE'!A51</f>
        <v>587</v>
      </c>
      <c r="B52" s="106" t="str">
        <f>'CALCULO Y BASE'!B51</f>
        <v>ELIA LEON MEJIA</v>
      </c>
      <c r="C52" s="18">
        <f>'CALCULO Y BASE'!C51</f>
        <v>39129737803</v>
      </c>
      <c r="D52" s="18" t="str">
        <f>'CALCULO Y BASE'!D51</f>
        <v>LEME970216RH3</v>
      </c>
      <c r="E52" s="18" t="str">
        <f>'CALCULO Y BASE'!E51</f>
        <v>LEME970216MDFNJL08</v>
      </c>
      <c r="F52" s="18" t="str">
        <f>'CALCULO Y BASE'!F51</f>
        <v>SSJ</v>
      </c>
      <c r="G52" s="15">
        <f ca="1">'CALCULO Y BASE'!Y51</f>
        <v>3760.6599200000001</v>
      </c>
      <c r="H52" s="19">
        <f ca="1">'CALCULO Y BASE'!X51</f>
        <v>382.46</v>
      </c>
      <c r="I52" s="20">
        <f>'CALCULO Y BASE'!AB51</f>
        <v>0</v>
      </c>
      <c r="J52" s="15">
        <f ca="1">'CALCULO Y BASE'!W51</f>
        <v>203.30008000000004</v>
      </c>
      <c r="K52" s="20">
        <f>'CALCULO Y BASE'!AA51</f>
        <v>90.234999999999999</v>
      </c>
      <c r="L52" s="20">
        <f>'CALCULO Y BASE'!AC51</f>
        <v>0</v>
      </c>
      <c r="M52" s="20">
        <f ca="1">'CALCULO Y BASE'!AD51</f>
        <v>3670.4249199999999</v>
      </c>
    </row>
    <row r="53" spans="1:13" x14ac:dyDescent="0.25">
      <c r="A53" s="18">
        <f>'CALCULO Y BASE'!A52</f>
        <v>590</v>
      </c>
      <c r="B53" s="106" t="str">
        <f>'CALCULO Y BASE'!B52</f>
        <v>XIMENA VIRIDIANA MORA GONZALEZ</v>
      </c>
      <c r="C53" s="18">
        <f>'CALCULO Y BASE'!C52</f>
        <v>12130135168</v>
      </c>
      <c r="D53" s="18" t="str">
        <f>'CALCULO Y BASE'!D52</f>
        <v>MOGX011003PI0</v>
      </c>
      <c r="E53" s="18" t="str">
        <f>'CALCULO Y BASE'!E52</f>
        <v>MOGX011003MDFRNMA6</v>
      </c>
      <c r="F53" s="18" t="str">
        <f>'CALCULO Y BASE'!F52</f>
        <v>SAJ</v>
      </c>
      <c r="G53" s="15">
        <f ca="1">'CALCULO Y BASE'!Y52</f>
        <v>3760.6599200000001</v>
      </c>
      <c r="H53" s="19">
        <f ca="1">'CALCULO Y BASE'!X52</f>
        <v>382.46</v>
      </c>
      <c r="I53" s="20">
        <f>'CALCULO Y BASE'!AB52</f>
        <v>0</v>
      </c>
      <c r="J53" s="15">
        <f ca="1">'CALCULO Y BASE'!W52</f>
        <v>203.30008000000004</v>
      </c>
      <c r="K53" s="20">
        <f>'CALCULO Y BASE'!AA52</f>
        <v>90.234999999999999</v>
      </c>
      <c r="L53" s="20">
        <f>'CALCULO Y BASE'!AC52</f>
        <v>0</v>
      </c>
      <c r="M53" s="20">
        <f ca="1">'CALCULO Y BASE'!AD52</f>
        <v>3670.4249199999999</v>
      </c>
    </row>
    <row r="54" spans="1:13" x14ac:dyDescent="0.25">
      <c r="A54" s="18">
        <f>'CALCULO Y BASE'!A53</f>
        <v>600</v>
      </c>
      <c r="B54" s="106" t="str">
        <f>'CALCULO Y BASE'!B53</f>
        <v>NOEMI DOLORES CORREA</v>
      </c>
      <c r="C54" s="18">
        <f>'CALCULO Y BASE'!C53</f>
        <v>39139404220</v>
      </c>
      <c r="D54" s="18" t="str">
        <f>'CALCULO Y BASE'!D53</f>
        <v>DOCN940114MR7</v>
      </c>
      <c r="E54" s="18" t="str">
        <f>'CALCULO Y BASE'!E53</f>
        <v>DOCN940114MDFLRM09</v>
      </c>
      <c r="F54" s="18" t="str">
        <f>'CALCULO Y BASE'!F53</f>
        <v>SSJ</v>
      </c>
      <c r="G54" s="15">
        <f ca="1">'CALCULO Y BASE'!Y53</f>
        <v>3760.6599200000001</v>
      </c>
      <c r="H54" s="19">
        <f ca="1">'CALCULO Y BASE'!X53</f>
        <v>382.46</v>
      </c>
      <c r="I54" s="20">
        <f>'CALCULO Y BASE'!AB53</f>
        <v>0</v>
      </c>
      <c r="J54" s="15">
        <f ca="1">'CALCULO Y BASE'!W53</f>
        <v>203.30008000000004</v>
      </c>
      <c r="K54" s="20">
        <f>'CALCULO Y BASE'!AA53</f>
        <v>90.234999999999999</v>
      </c>
      <c r="L54" s="20">
        <f>'CALCULO Y BASE'!AC53</f>
        <v>0</v>
      </c>
      <c r="M54" s="20">
        <f ca="1">'CALCULO Y BASE'!AD53</f>
        <v>3670.4249199999999</v>
      </c>
    </row>
    <row r="55" spans="1:13" x14ac:dyDescent="0.25">
      <c r="A55" s="18">
        <f>'CALCULO Y BASE'!A54</f>
        <v>602</v>
      </c>
      <c r="B55" s="106" t="str">
        <f>'CALCULO Y BASE'!B54</f>
        <v>ALLAN MARTINEZ ALONSO</v>
      </c>
      <c r="C55" s="18">
        <f>'CALCULO Y BASE'!C54</f>
        <v>2179526492</v>
      </c>
      <c r="D55" s="18" t="str">
        <f>'CALCULO Y BASE'!D54</f>
        <v>MAAA951006CF2</v>
      </c>
      <c r="E55" s="18" t="str">
        <f>'CALCULO Y BASE'!E54</f>
        <v>MAAA951006HMCRLL08</v>
      </c>
      <c r="F55" s="18" t="str">
        <f>'CALCULO Y BASE'!F54</f>
        <v>SPD</v>
      </c>
      <c r="G55" s="15">
        <f ca="1">'CALCULO Y BASE'!Y54</f>
        <v>3760.6599200000001</v>
      </c>
      <c r="H55" s="19">
        <f ca="1">'CALCULO Y BASE'!X54</f>
        <v>382.46</v>
      </c>
      <c r="I55" s="20">
        <f>'CALCULO Y BASE'!AB54</f>
        <v>0</v>
      </c>
      <c r="J55" s="15">
        <f ca="1">'CALCULO Y BASE'!W54</f>
        <v>203.30008000000004</v>
      </c>
      <c r="K55" s="20">
        <f>'CALCULO Y BASE'!AA54</f>
        <v>90.234999999999999</v>
      </c>
      <c r="L55" s="20">
        <f>'CALCULO Y BASE'!AC54</f>
        <v>0</v>
      </c>
      <c r="M55" s="20">
        <f ca="1">'CALCULO Y BASE'!AD54</f>
        <v>3670.4249199999999</v>
      </c>
    </row>
    <row r="56" spans="1:13" x14ac:dyDescent="0.25">
      <c r="A56" s="18">
        <f>'CALCULO Y BASE'!A55</f>
        <v>604</v>
      </c>
      <c r="B56" s="106" t="str">
        <f>'CALCULO Y BASE'!B55</f>
        <v>ILIANA NALLELY ESTRADA ESTRADA</v>
      </c>
      <c r="C56" s="18">
        <f>'CALCULO Y BASE'!C55</f>
        <v>39078703145</v>
      </c>
      <c r="D56" s="18" t="str">
        <f>'CALCULO Y BASE'!D55</f>
        <v>EAEI8712092X9</v>
      </c>
      <c r="E56" s="18" t="str">
        <f>'CALCULO Y BASE'!E55</f>
        <v>EAEI871209MDFSSL05</v>
      </c>
      <c r="F56" s="18" t="str">
        <f>'CALCULO Y BASE'!F55</f>
        <v>ACF</v>
      </c>
      <c r="G56" s="15">
        <f ca="1">'CALCULO Y BASE'!Y55</f>
        <v>3760.6599200000001</v>
      </c>
      <c r="H56" s="19">
        <f ca="1">'CALCULO Y BASE'!X55</f>
        <v>382.46</v>
      </c>
      <c r="I56" s="20">
        <f>'CALCULO Y BASE'!AB55</f>
        <v>0</v>
      </c>
      <c r="J56" s="15">
        <f ca="1">'CALCULO Y BASE'!W55</f>
        <v>203.30008000000004</v>
      </c>
      <c r="K56" s="20">
        <f>'CALCULO Y BASE'!AA55</f>
        <v>90.234999999999999</v>
      </c>
      <c r="L56" s="20">
        <f>'CALCULO Y BASE'!AC55</f>
        <v>0</v>
      </c>
      <c r="M56" s="20">
        <f ca="1">'CALCULO Y BASE'!AD55</f>
        <v>3670.4249199999999</v>
      </c>
    </row>
    <row r="57" spans="1:13" x14ac:dyDescent="0.25">
      <c r="A57" s="18">
        <f>'CALCULO Y BASE'!A56</f>
        <v>605</v>
      </c>
      <c r="B57" s="106" t="str">
        <f>'CALCULO Y BASE'!B56</f>
        <v>ESTEFANIA NAVARRO BAEZ</v>
      </c>
      <c r="C57" s="18">
        <f>'CALCULO Y BASE'!C56</f>
        <v>39109318376</v>
      </c>
      <c r="D57" s="18" t="str">
        <f>'CALCULO Y BASE'!D56</f>
        <v>NABE930314EE8</v>
      </c>
      <c r="E57" s="18" t="str">
        <f>'CALCULO Y BASE'!E56</f>
        <v>NABE930314MDFVZS08</v>
      </c>
      <c r="F57" s="18" t="str">
        <f>'CALCULO Y BASE'!F56</f>
        <v>SPD</v>
      </c>
      <c r="G57" s="15">
        <f ca="1">'CALCULO Y BASE'!Y56</f>
        <v>3760.6599200000001</v>
      </c>
      <c r="H57" s="19">
        <f ca="1">'CALCULO Y BASE'!X56</f>
        <v>382.46</v>
      </c>
      <c r="I57" s="20">
        <f>'CALCULO Y BASE'!AB56</f>
        <v>0</v>
      </c>
      <c r="J57" s="15">
        <f ca="1">'CALCULO Y BASE'!W56</f>
        <v>203.30008000000004</v>
      </c>
      <c r="K57" s="20">
        <f>'CALCULO Y BASE'!AA56</f>
        <v>90.234999999999999</v>
      </c>
      <c r="L57" s="20">
        <f>'CALCULO Y BASE'!AC56</f>
        <v>0</v>
      </c>
      <c r="M57" s="20">
        <f ca="1">'CALCULO Y BASE'!AD56</f>
        <v>3670.4249199999999</v>
      </c>
    </row>
    <row r="58" spans="1:13" x14ac:dyDescent="0.25">
      <c r="A58" s="18">
        <f>'CALCULO Y BASE'!A57</f>
        <v>607</v>
      </c>
      <c r="B58" s="106" t="str">
        <f>'CALCULO Y BASE'!B57</f>
        <v>MARILYN   MORA ESCALANTE</v>
      </c>
      <c r="C58" s="18">
        <f>'CALCULO Y BASE'!C57</f>
        <v>42109106403</v>
      </c>
      <c r="D58" s="18" t="str">
        <f>'CALCULO Y BASE'!D57</f>
        <v>MOEM911206GB4</v>
      </c>
      <c r="E58" s="18" t="str">
        <f>'CALCULO Y BASE'!E57</f>
        <v>MOEM911206MTLRSR14</v>
      </c>
      <c r="F58" s="18" t="str">
        <f>'CALCULO Y BASE'!F57</f>
        <v>SAJ</v>
      </c>
      <c r="G58" s="15">
        <f ca="1">'CALCULO Y BASE'!Y57</f>
        <v>3760.6599200000001</v>
      </c>
      <c r="H58" s="19">
        <f ca="1">'CALCULO Y BASE'!X57</f>
        <v>382.46</v>
      </c>
      <c r="I58" s="20">
        <f>'CALCULO Y BASE'!AB57</f>
        <v>0</v>
      </c>
      <c r="J58" s="15">
        <f ca="1">'CALCULO Y BASE'!W57</f>
        <v>203.30008000000004</v>
      </c>
      <c r="K58" s="20">
        <f>'CALCULO Y BASE'!AA57</f>
        <v>90.234999999999999</v>
      </c>
      <c r="L58" s="20">
        <f>'CALCULO Y BASE'!AC57</f>
        <v>0</v>
      </c>
      <c r="M58" s="20">
        <f ca="1">'CALCULO Y BASE'!AD57</f>
        <v>3670.4249199999999</v>
      </c>
    </row>
    <row r="59" spans="1:13" x14ac:dyDescent="0.25">
      <c r="A59" s="18">
        <f>'CALCULO Y BASE'!A58</f>
        <v>609</v>
      </c>
      <c r="B59" s="106" t="str">
        <f>'CALCULO Y BASE'!B58</f>
        <v>SALMA  RUIZ AGUILAR</v>
      </c>
      <c r="C59" s="18">
        <f>'CALCULO Y BASE'!C58</f>
        <v>39149940114</v>
      </c>
      <c r="D59" s="18" t="str">
        <f>'CALCULO Y BASE'!D58</f>
        <v>RUAS9906277IA</v>
      </c>
      <c r="E59" s="18" t="str">
        <f>'CALCULO Y BASE'!E58</f>
        <v>RUAS990627MDFZGL08</v>
      </c>
      <c r="F59" s="18" t="str">
        <f>'CALCULO Y BASE'!F58</f>
        <v>SPD</v>
      </c>
      <c r="G59" s="15">
        <f ca="1">'CALCULO Y BASE'!Y58</f>
        <v>3760.6599200000001</v>
      </c>
      <c r="H59" s="19">
        <f ca="1">'CALCULO Y BASE'!X58</f>
        <v>382.46</v>
      </c>
      <c r="I59" s="20">
        <f>'CALCULO Y BASE'!AB58</f>
        <v>0</v>
      </c>
      <c r="J59" s="15">
        <f ca="1">'CALCULO Y BASE'!W58</f>
        <v>203.30008000000004</v>
      </c>
      <c r="K59" s="20">
        <f>'CALCULO Y BASE'!AA58</f>
        <v>90.234999999999999</v>
      </c>
      <c r="L59" s="20">
        <f>'CALCULO Y BASE'!AC58</f>
        <v>0</v>
      </c>
      <c r="M59" s="20">
        <f ca="1">'CALCULO Y BASE'!AD58</f>
        <v>3670.4249199999999</v>
      </c>
    </row>
    <row r="60" spans="1:13" x14ac:dyDescent="0.25">
      <c r="A60" s="18">
        <f>'CALCULO Y BASE'!A59</f>
        <v>610</v>
      </c>
      <c r="B60" s="106" t="str">
        <f>'CALCULO Y BASE'!B59</f>
        <v>ROCIO PAOLA CALVA ANTONIO</v>
      </c>
      <c r="C60" s="18">
        <f>'CALCULO Y BASE'!C59</f>
        <v>62169917671</v>
      </c>
      <c r="D60" s="18" t="str">
        <f>'CALCULO Y BASE'!D59</f>
        <v>CAAR990826SF5</v>
      </c>
      <c r="E60" s="18" t="str">
        <f>'CALCULO Y BASE'!E59</f>
        <v>CAAR990826MDFLNC09</v>
      </c>
      <c r="F60" s="18" t="str">
        <f>'CALCULO Y BASE'!F59</f>
        <v>SPC</v>
      </c>
      <c r="G60" s="15">
        <f ca="1">'CALCULO Y BASE'!Y59</f>
        <v>3760.6599200000001</v>
      </c>
      <c r="H60" s="19">
        <f ca="1">'CALCULO Y BASE'!X59</f>
        <v>382.46</v>
      </c>
      <c r="I60" s="20">
        <f>'CALCULO Y BASE'!AB59</f>
        <v>0</v>
      </c>
      <c r="J60" s="15">
        <f ca="1">'CALCULO Y BASE'!W59</f>
        <v>203.30008000000004</v>
      </c>
      <c r="K60" s="20">
        <f>'CALCULO Y BASE'!AA59</f>
        <v>90.234999999999999</v>
      </c>
      <c r="L60" s="20">
        <f>'CALCULO Y BASE'!AC59</f>
        <v>0</v>
      </c>
      <c r="M60" s="20">
        <f ca="1">'CALCULO Y BASE'!AD59</f>
        <v>3670.4249199999999</v>
      </c>
    </row>
    <row r="61" spans="1:13" ht="13.5" customHeight="1" x14ac:dyDescent="0.25">
      <c r="A61" s="18">
        <f>'CALCULO Y BASE'!A60</f>
        <v>611</v>
      </c>
      <c r="B61" s="106" t="str">
        <f>'CALCULO Y BASE'!B60</f>
        <v>NORMA BELEN CASTILLO PEÑA</v>
      </c>
      <c r="C61" s="18">
        <f>'CALCULO Y BASE'!C60</f>
        <v>39047500283</v>
      </c>
      <c r="D61" s="18" t="str">
        <f>'CALCULO Y BASE'!D60</f>
        <v>CAPN750202EM0</v>
      </c>
      <c r="E61" s="18" t="str">
        <f>'CALCULO Y BASE'!E60</f>
        <v>CAPN750202MDFSXR08</v>
      </c>
      <c r="F61" s="18" t="str">
        <f>'CALCULO Y BASE'!F60</f>
        <v>SSF</v>
      </c>
      <c r="G61" s="15">
        <f ca="1">'CALCULO Y BASE'!Y60</f>
        <v>3760.6599200000001</v>
      </c>
      <c r="H61" s="19">
        <f ca="1">'CALCULO Y BASE'!X60</f>
        <v>382.46</v>
      </c>
      <c r="I61" s="20">
        <f>'CALCULO Y BASE'!AB60</f>
        <v>0</v>
      </c>
      <c r="J61" s="15">
        <f ca="1">'CALCULO Y BASE'!W60</f>
        <v>203.30008000000004</v>
      </c>
      <c r="K61" s="20">
        <f>'CALCULO Y BASE'!AA60</f>
        <v>90.234999999999999</v>
      </c>
      <c r="L61" s="20">
        <f>'CALCULO Y BASE'!AC60</f>
        <v>0</v>
      </c>
      <c r="M61" s="20">
        <f ca="1">'CALCULO Y BASE'!AD60</f>
        <v>3670.4249199999999</v>
      </c>
    </row>
    <row r="63" spans="1:13" x14ac:dyDescent="0.25">
      <c r="B63" t="s">
        <v>44</v>
      </c>
      <c r="G63" t="s">
        <v>45</v>
      </c>
    </row>
    <row r="65" spans="1:13" x14ac:dyDescent="0.25">
      <c r="B65" s="9"/>
      <c r="C65" s="9"/>
      <c r="G65" s="9"/>
      <c r="H65" s="9"/>
      <c r="I65" s="9"/>
      <c r="J65" s="9"/>
      <c r="K65" s="9"/>
      <c r="L65" s="9"/>
      <c r="M65" s="9"/>
    </row>
    <row r="68" spans="1:13" x14ac:dyDescent="0.25">
      <c r="A68" s="11" t="str">
        <f>A1</f>
        <v>ABNERIA, S.A. DE C.V.</v>
      </c>
    </row>
    <row r="69" spans="1:13" x14ac:dyDescent="0.25">
      <c r="A69" t="s">
        <v>42</v>
      </c>
    </row>
    <row r="71" spans="1:13" x14ac:dyDescent="0.25">
      <c r="A71" t="str">
        <f t="shared" ref="A71:B73" si="0">A5</f>
        <v>MES</v>
      </c>
      <c r="B71" t="str">
        <f t="shared" ca="1" si="0"/>
        <v>FEBRERO</v>
      </c>
    </row>
    <row r="72" spans="1:13" x14ac:dyDescent="0.25">
      <c r="A72" s="13" t="str">
        <f t="shared" si="0"/>
        <v>NUM.</v>
      </c>
      <c r="B72" s="13" t="str">
        <f t="shared" si="0"/>
        <v>NOMBRE DEL TRABAJADOR</v>
      </c>
      <c r="C72" s="13" t="str">
        <f t="shared" ref="C72:E73" si="1">C6</f>
        <v>NSS</v>
      </c>
      <c r="D72" s="13" t="str">
        <f t="shared" si="1"/>
        <v>R.F.C.</v>
      </c>
      <c r="E72" s="13" t="str">
        <f t="shared" si="1"/>
        <v>CURP</v>
      </c>
      <c r="F72" s="13"/>
      <c r="G72" s="13" t="str">
        <f>G6</f>
        <v>IMPORTE</v>
      </c>
      <c r="H72" s="130" t="s">
        <v>43</v>
      </c>
      <c r="I72" s="130"/>
      <c r="J72" s="130"/>
      <c r="K72" s="130"/>
      <c r="L72" s="29"/>
      <c r="M72" s="10"/>
    </row>
    <row r="73" spans="1:13" ht="15.75" thickBot="1" x14ac:dyDescent="0.3">
      <c r="A73" s="12">
        <f t="shared" si="0"/>
        <v>1</v>
      </c>
      <c r="B73" s="19" t="str">
        <f t="shared" si="0"/>
        <v>CESAR ABNER TRUJILLO ESTRADA</v>
      </c>
      <c r="C73" s="19">
        <f t="shared" si="1"/>
        <v>7078605396</v>
      </c>
      <c r="D73" s="19" t="str">
        <f t="shared" si="1"/>
        <v>TUEC8602065C1</v>
      </c>
      <c r="E73" s="19" t="str">
        <f t="shared" si="1"/>
        <v>TUEC860206HDFRSS03</v>
      </c>
      <c r="F73" s="107" t="str">
        <f>F7</f>
        <v>MPD</v>
      </c>
      <c r="G73" s="20">
        <f ca="1">M7</f>
        <v>12457.394496000001</v>
      </c>
      <c r="H73" s="25"/>
      <c r="I73" s="25"/>
      <c r="J73" s="25"/>
      <c r="K73" s="26"/>
      <c r="L73" s="30"/>
    </row>
    <row r="74" spans="1:13" ht="15.75" thickBot="1" x14ac:dyDescent="0.3">
      <c r="A74" s="12">
        <f t="shared" ref="A74:F74" si="2">A8</f>
        <v>3</v>
      </c>
      <c r="B74" s="19" t="str">
        <f t="shared" si="2"/>
        <v>JOSE ANTONIO ESTRADA ROMERO</v>
      </c>
      <c r="C74" s="19">
        <f t="shared" si="2"/>
        <v>11947307382</v>
      </c>
      <c r="D74" s="19" t="str">
        <f t="shared" si="2"/>
        <v>EARA730128KI5</v>
      </c>
      <c r="E74" s="19" t="str">
        <f t="shared" si="2"/>
        <v>EARA730128HDFSMN01</v>
      </c>
      <c r="F74" s="107" t="str">
        <f t="shared" si="2"/>
        <v>FYD</v>
      </c>
      <c r="G74" s="20">
        <f t="shared" ref="G74:G127" ca="1" si="3">M8</f>
        <v>8442.2610399999994</v>
      </c>
      <c r="H74" s="16"/>
      <c r="I74" s="16"/>
      <c r="J74" s="16"/>
      <c r="K74" s="14"/>
      <c r="L74" s="6"/>
    </row>
    <row r="75" spans="1:13" ht="15.75" thickBot="1" x14ac:dyDescent="0.3">
      <c r="A75" s="12">
        <f t="shared" ref="A75:F75" si="4">A9</f>
        <v>9</v>
      </c>
      <c r="B75" s="19" t="str">
        <f t="shared" si="4"/>
        <v>ERIC GUSTAVO ESTRADA ESTRADA</v>
      </c>
      <c r="C75" s="19">
        <f t="shared" si="4"/>
        <v>39028216297</v>
      </c>
      <c r="D75" s="19" t="str">
        <f t="shared" si="4"/>
        <v>EAEE82041878A</v>
      </c>
      <c r="E75" s="19" t="str">
        <f t="shared" si="4"/>
        <v>EAEE820418HDFSSR08</v>
      </c>
      <c r="F75" s="107" t="str">
        <f t="shared" si="4"/>
        <v>CAB</v>
      </c>
      <c r="G75" s="20">
        <f t="shared" ca="1" si="3"/>
        <v>7123.0251519999993</v>
      </c>
      <c r="H75" s="16"/>
      <c r="I75" s="16"/>
      <c r="J75" s="16"/>
      <c r="K75" s="14"/>
      <c r="L75" s="6"/>
    </row>
    <row r="76" spans="1:13" ht="15.75" thickBot="1" x14ac:dyDescent="0.3">
      <c r="A76" s="12">
        <f t="shared" ref="A76:F76" si="5">A10</f>
        <v>15</v>
      </c>
      <c r="B76" s="19" t="str">
        <f t="shared" si="5"/>
        <v>EVA SUSANA MANJARREZ CAMACHO</v>
      </c>
      <c r="C76" s="19">
        <f t="shared" si="5"/>
        <v>39957323668</v>
      </c>
      <c r="D76" s="19" t="str">
        <f t="shared" si="5"/>
        <v>MACE730427QP8</v>
      </c>
      <c r="E76" s="19" t="str">
        <f t="shared" si="5"/>
        <v>MACE730427MDFNMV02</v>
      </c>
      <c r="F76" s="107" t="str">
        <f t="shared" si="5"/>
        <v>MPD</v>
      </c>
      <c r="G76" s="20">
        <f t="shared" ca="1" si="3"/>
        <v>9680.5808400000005</v>
      </c>
      <c r="H76" s="16"/>
      <c r="I76" s="16"/>
      <c r="J76" s="16"/>
      <c r="K76" s="14"/>
      <c r="L76" s="6"/>
    </row>
    <row r="77" spans="1:13" ht="15.75" thickBot="1" x14ac:dyDescent="0.3">
      <c r="A77" s="12">
        <f t="shared" ref="A77:F77" si="6">A11</f>
        <v>23</v>
      </c>
      <c r="B77" s="19" t="str">
        <f t="shared" si="6"/>
        <v>JORGE ALFONSO TAPIA DOMINGUEZ</v>
      </c>
      <c r="C77" s="19">
        <f t="shared" si="6"/>
        <v>39098710864</v>
      </c>
      <c r="D77" s="19" t="str">
        <f t="shared" si="6"/>
        <v>TADJ8708041S4</v>
      </c>
      <c r="E77" s="19" t="str">
        <f t="shared" si="6"/>
        <v>TADJ870804HDFPMR01</v>
      </c>
      <c r="F77" s="107" t="str">
        <f t="shared" si="6"/>
        <v>OPE</v>
      </c>
      <c r="G77" s="20">
        <f t="shared" ca="1" si="3"/>
        <v>8192.3873599999988</v>
      </c>
      <c r="H77" s="16"/>
      <c r="I77" s="16"/>
      <c r="J77" s="16"/>
      <c r="K77" s="14"/>
      <c r="L77" s="6"/>
    </row>
    <row r="78" spans="1:13" ht="15.75" thickBot="1" x14ac:dyDescent="0.3">
      <c r="A78" s="12">
        <f t="shared" ref="A78:F78" si="7">A12</f>
        <v>28</v>
      </c>
      <c r="B78" s="19" t="str">
        <f t="shared" si="7"/>
        <v>GABRIEL ESTRADA PABELLO</v>
      </c>
      <c r="C78" s="19">
        <f t="shared" si="7"/>
        <v>11977941902</v>
      </c>
      <c r="D78" s="19" t="str">
        <f t="shared" si="7"/>
        <v>EAPG7905263L3</v>
      </c>
      <c r="E78" s="19" t="str">
        <f t="shared" si="7"/>
        <v>EAPG790526HDFSBB09</v>
      </c>
      <c r="F78" s="107" t="str">
        <f t="shared" si="7"/>
        <v>ACF</v>
      </c>
      <c r="G78" s="20">
        <f t="shared" ca="1" si="3"/>
        <v>9680.5808400000005</v>
      </c>
      <c r="H78" s="16"/>
      <c r="I78" s="16"/>
      <c r="J78" s="16"/>
      <c r="K78" s="14"/>
      <c r="L78" s="6"/>
    </row>
    <row r="79" spans="1:13" ht="15.75" thickBot="1" x14ac:dyDescent="0.3">
      <c r="A79" s="12">
        <f t="shared" ref="A79:F79" si="8">A13</f>
        <v>43</v>
      </c>
      <c r="B79" s="19" t="str">
        <f t="shared" si="8"/>
        <v>MARIA ANGELICA HERNANDEZ ROJAS</v>
      </c>
      <c r="C79" s="19">
        <f t="shared" si="8"/>
        <v>39937231387</v>
      </c>
      <c r="D79" s="19" t="str">
        <f t="shared" si="8"/>
        <v>HERA720223J87</v>
      </c>
      <c r="E79" s="19" t="str">
        <f t="shared" si="8"/>
        <v>HERA720223MDFRJN03</v>
      </c>
      <c r="F79" s="107" t="str">
        <f t="shared" si="8"/>
        <v>SSJ</v>
      </c>
      <c r="G79" s="20">
        <f t="shared" ca="1" si="3"/>
        <v>5905.0184239999999</v>
      </c>
      <c r="H79" s="16"/>
      <c r="I79" s="16"/>
      <c r="J79" s="16"/>
      <c r="K79" s="14"/>
      <c r="L79" s="6"/>
    </row>
    <row r="80" spans="1:13" ht="15.75" thickBot="1" x14ac:dyDescent="0.3">
      <c r="A80" s="12">
        <f t="shared" ref="A80:F80" si="9">A14</f>
        <v>133</v>
      </c>
      <c r="B80" s="19" t="str">
        <f t="shared" si="9"/>
        <v>CESAR ROBERTO MEDINA ROMERO</v>
      </c>
      <c r="C80" s="19">
        <f t="shared" si="9"/>
        <v>1109306629</v>
      </c>
      <c r="D80" s="19" t="str">
        <f t="shared" si="9"/>
        <v>MERC930527V20</v>
      </c>
      <c r="E80" s="19" t="str">
        <f t="shared" si="9"/>
        <v>MERC930527HDFDMS08</v>
      </c>
      <c r="F80" s="107" t="str">
        <f t="shared" si="9"/>
        <v>SCCC</v>
      </c>
      <c r="G80" s="20">
        <f t="shared" ca="1" si="3"/>
        <v>4027.0039199999997</v>
      </c>
      <c r="H80" s="16"/>
      <c r="I80" s="16"/>
      <c r="J80" s="16"/>
      <c r="K80" s="14"/>
      <c r="L80" s="6"/>
    </row>
    <row r="81" spans="1:12" ht="15.75" thickBot="1" x14ac:dyDescent="0.3">
      <c r="A81" s="12">
        <f t="shared" ref="A81:F81" si="10">A15</f>
        <v>157</v>
      </c>
      <c r="B81" s="19" t="str">
        <f t="shared" si="10"/>
        <v>ERIK RICARDO RAMIREZ SOTO</v>
      </c>
      <c r="C81" s="19">
        <f t="shared" si="10"/>
        <v>96088833718</v>
      </c>
      <c r="D81" s="19" t="str">
        <f t="shared" si="10"/>
        <v>RASE880911SK7</v>
      </c>
      <c r="E81" s="19" t="str">
        <f t="shared" si="10"/>
        <v>RASE880911HMCMTR28</v>
      </c>
      <c r="F81" s="107" t="str">
        <f t="shared" si="10"/>
        <v>CAB</v>
      </c>
      <c r="G81" s="20">
        <f t="shared" ca="1" si="3"/>
        <v>5905.0184239999999</v>
      </c>
      <c r="H81" s="16"/>
      <c r="I81" s="16"/>
      <c r="J81" s="16"/>
      <c r="K81" s="14"/>
      <c r="L81" s="6"/>
    </row>
    <row r="82" spans="1:12" ht="15.75" thickBot="1" x14ac:dyDescent="0.3">
      <c r="A82" s="12">
        <f t="shared" ref="A82:F82" si="11">A16</f>
        <v>181</v>
      </c>
      <c r="B82" s="19" t="str">
        <f t="shared" si="11"/>
        <v>VERONICA PLACIDO ESTRADA</v>
      </c>
      <c r="C82" s="19">
        <f t="shared" si="11"/>
        <v>7907002443</v>
      </c>
      <c r="D82" s="19" t="str">
        <f t="shared" si="11"/>
        <v>PAEV700726NB4</v>
      </c>
      <c r="E82" s="19" t="str">
        <f t="shared" si="11"/>
        <v>PAEV700726MDFLSR07</v>
      </c>
      <c r="F82" s="107" t="str">
        <f t="shared" si="11"/>
        <v>SSJ</v>
      </c>
      <c r="G82" s="20">
        <f t="shared" ca="1" si="3"/>
        <v>3670.4249199999999</v>
      </c>
      <c r="H82" s="16"/>
      <c r="I82" s="16"/>
      <c r="J82" s="16"/>
      <c r="K82" s="14"/>
      <c r="L82" s="6"/>
    </row>
    <row r="83" spans="1:12" ht="15.75" thickBot="1" x14ac:dyDescent="0.3">
      <c r="A83" s="12">
        <f t="shared" ref="A83:F83" si="12">A17</f>
        <v>207</v>
      </c>
      <c r="B83" s="19" t="str">
        <f t="shared" si="12"/>
        <v>MARIA DEL ROCIO HERNANDEZ CHINOS</v>
      </c>
      <c r="C83" s="19">
        <f t="shared" si="12"/>
        <v>2157397924</v>
      </c>
      <c r="D83" s="19" t="str">
        <f t="shared" si="12"/>
        <v>HECR730127IQ5</v>
      </c>
      <c r="E83" s="19" t="str">
        <f t="shared" si="12"/>
        <v>HECR730127MMSRHC05</v>
      </c>
      <c r="F83" s="107" t="str">
        <f t="shared" si="12"/>
        <v>SAJ</v>
      </c>
      <c r="G83" s="20">
        <f t="shared" ca="1" si="3"/>
        <v>3670.4249199999999</v>
      </c>
      <c r="H83" s="16"/>
      <c r="I83" s="16"/>
      <c r="J83" s="16"/>
      <c r="K83" s="14"/>
      <c r="L83" s="6"/>
    </row>
    <row r="84" spans="1:12" ht="15.75" thickBot="1" x14ac:dyDescent="0.3">
      <c r="A84" s="12">
        <f t="shared" ref="A84:F84" si="13">A18</f>
        <v>208</v>
      </c>
      <c r="B84" s="19" t="str">
        <f t="shared" si="13"/>
        <v>DANIEL MARTINEZ RODRIGUEZ</v>
      </c>
      <c r="C84" s="19">
        <f t="shared" si="13"/>
        <v>30109309259</v>
      </c>
      <c r="D84" s="19" t="str">
        <f t="shared" si="13"/>
        <v>MARD9309029V9</v>
      </c>
      <c r="E84" s="19" t="str">
        <f t="shared" si="13"/>
        <v>MARD930902HDFRDN01</v>
      </c>
      <c r="F84" s="107" t="str">
        <f t="shared" si="13"/>
        <v>SAJ</v>
      </c>
      <c r="G84" s="20">
        <f t="shared" ca="1" si="3"/>
        <v>3670.4249199999999</v>
      </c>
      <c r="H84" s="16"/>
      <c r="I84" s="16"/>
      <c r="J84" s="16"/>
      <c r="K84" s="14"/>
      <c r="L84" s="6"/>
    </row>
    <row r="85" spans="1:12" ht="15.75" thickBot="1" x14ac:dyDescent="0.3">
      <c r="A85" s="12">
        <f t="shared" ref="A85:F85" si="14">A19</f>
        <v>227</v>
      </c>
      <c r="B85" s="19" t="str">
        <f t="shared" si="14"/>
        <v>HECTOR ABRAHAM SANTA FE CHAVEZ</v>
      </c>
      <c r="C85" s="19">
        <f t="shared" si="14"/>
        <v>18149299788</v>
      </c>
      <c r="D85" s="19" t="str">
        <f t="shared" si="14"/>
        <v>SACH920618U80</v>
      </c>
      <c r="E85" s="19" t="str">
        <f t="shared" si="14"/>
        <v>SACH920618HDFNHC05</v>
      </c>
      <c r="F85" s="107" t="str">
        <f t="shared" si="14"/>
        <v>SAJ</v>
      </c>
      <c r="G85" s="20">
        <f t="shared" ca="1" si="3"/>
        <v>3210.5699599999998</v>
      </c>
      <c r="H85" s="16"/>
      <c r="I85" s="16"/>
      <c r="J85" s="16"/>
      <c r="K85" s="14"/>
      <c r="L85" s="6"/>
    </row>
    <row r="86" spans="1:12" ht="15.75" thickBot="1" x14ac:dyDescent="0.3">
      <c r="A86" s="12">
        <f t="shared" ref="A86:F86" si="15">A20</f>
        <v>251</v>
      </c>
      <c r="B86" s="19" t="str">
        <f t="shared" si="15"/>
        <v>ALEJANDRA SOLIS RUIZ</v>
      </c>
      <c r="C86" s="19">
        <f t="shared" si="15"/>
        <v>26169732034</v>
      </c>
      <c r="D86" s="19" t="str">
        <f t="shared" si="15"/>
        <v>SORA970109IH1</v>
      </c>
      <c r="E86" s="19" t="str">
        <f t="shared" si="15"/>
        <v>SORA970109MDFLZL07</v>
      </c>
      <c r="F86" s="107" t="str">
        <f t="shared" si="15"/>
        <v>SSJ</v>
      </c>
      <c r="G86" s="20">
        <f t="shared" ca="1" si="3"/>
        <v>3670.4249199999999</v>
      </c>
      <c r="H86" s="16"/>
      <c r="I86" s="16"/>
      <c r="J86" s="16"/>
      <c r="K86" s="14"/>
      <c r="L86" s="6"/>
    </row>
    <row r="87" spans="1:12" ht="15.75" thickBot="1" x14ac:dyDescent="0.3">
      <c r="A87" s="12">
        <f t="shared" ref="A87:F87" si="16">A21</f>
        <v>274</v>
      </c>
      <c r="B87" s="19" t="str">
        <f t="shared" si="16"/>
        <v>EDUARDO JAVIER ANTONIO BECERRIL</v>
      </c>
      <c r="C87" s="19">
        <f t="shared" si="16"/>
        <v>14119609775</v>
      </c>
      <c r="D87" s="19" t="str">
        <f t="shared" si="16"/>
        <v>AOBE960907973</v>
      </c>
      <c r="E87" s="19" t="str">
        <f t="shared" si="16"/>
        <v>AOBE960907HDFNCD04</v>
      </c>
      <c r="F87" s="107" t="str">
        <f t="shared" si="16"/>
        <v>SSF</v>
      </c>
      <c r="G87" s="20">
        <f t="shared" ca="1" si="3"/>
        <v>3670.4249199999999</v>
      </c>
      <c r="H87" s="16"/>
      <c r="I87" s="16"/>
      <c r="J87" s="16"/>
      <c r="K87" s="14"/>
      <c r="L87" s="6"/>
    </row>
    <row r="88" spans="1:12" ht="15.75" thickBot="1" x14ac:dyDescent="0.3">
      <c r="A88" s="12">
        <f t="shared" ref="A88:F88" si="17">A22</f>
        <v>316</v>
      </c>
      <c r="B88" s="19" t="str">
        <f t="shared" si="17"/>
        <v>MONTSERRAT HIGUERA SUNYOL</v>
      </c>
      <c r="C88" s="19">
        <f t="shared" si="17"/>
        <v>45088807156</v>
      </c>
      <c r="D88" s="19" t="str">
        <f t="shared" si="17"/>
        <v>HISM8805115U4</v>
      </c>
      <c r="E88" s="19" t="str">
        <f t="shared" si="17"/>
        <v>HISM880511MDFGNN06</v>
      </c>
      <c r="F88" s="107" t="str">
        <f t="shared" si="17"/>
        <v>SSF</v>
      </c>
      <c r="G88" s="20">
        <f t="shared" ca="1" si="3"/>
        <v>3670.4249199999999</v>
      </c>
      <c r="H88" s="16"/>
      <c r="I88" s="16"/>
      <c r="J88" s="16"/>
      <c r="K88" s="14"/>
      <c r="L88" s="6"/>
    </row>
    <row r="89" spans="1:12" ht="15.75" thickBot="1" x14ac:dyDescent="0.3">
      <c r="A89" s="12">
        <f t="shared" ref="A89:F89" si="18">A23</f>
        <v>323</v>
      </c>
      <c r="B89" s="19" t="str">
        <f t="shared" si="18"/>
        <v>HECTOR DANIEL ORIA NIETO</v>
      </c>
      <c r="C89" s="19">
        <f t="shared" si="18"/>
        <v>92129439367</v>
      </c>
      <c r="D89" s="19" t="str">
        <f t="shared" si="18"/>
        <v>OINH940624SZ0</v>
      </c>
      <c r="E89" s="19" t="str">
        <f t="shared" si="18"/>
        <v>OINH940624HJCRTC04</v>
      </c>
      <c r="F89" s="107" t="str">
        <f t="shared" si="18"/>
        <v>SCCC</v>
      </c>
      <c r="G89" s="20">
        <f t="shared" ca="1" si="3"/>
        <v>3670.4249199999999</v>
      </c>
      <c r="H89" s="16"/>
      <c r="I89" s="16"/>
      <c r="J89" s="16"/>
      <c r="K89" s="14"/>
      <c r="L89" s="6"/>
    </row>
    <row r="90" spans="1:12" ht="15.75" thickBot="1" x14ac:dyDescent="0.3">
      <c r="A90" s="12">
        <f t="shared" ref="A90:F90" si="19">A24</f>
        <v>358</v>
      </c>
      <c r="B90" s="19" t="str">
        <f t="shared" si="19"/>
        <v>JOSE MARCELO RODRIGUEZ VAZQUEZ</v>
      </c>
      <c r="C90" s="19">
        <f t="shared" si="19"/>
        <v>1037903075</v>
      </c>
      <c r="D90" s="19" t="str">
        <f t="shared" si="19"/>
        <v>ROVM7908116R5</v>
      </c>
      <c r="E90" s="19" t="str">
        <f t="shared" si="19"/>
        <v>ROVM790811HDFDZR07</v>
      </c>
      <c r="F90" s="107" t="str">
        <f t="shared" si="19"/>
        <v>CAB</v>
      </c>
      <c r="G90" s="20">
        <f t="shared" ca="1" si="3"/>
        <v>5472.4454960000003</v>
      </c>
      <c r="H90" s="16"/>
      <c r="I90" s="16"/>
      <c r="J90" s="16"/>
      <c r="K90" s="14"/>
      <c r="L90" s="6"/>
    </row>
    <row r="91" spans="1:12" ht="15.75" thickBot="1" x14ac:dyDescent="0.3">
      <c r="A91" s="12">
        <f t="shared" ref="A91:F91" si="20">A25</f>
        <v>377</v>
      </c>
      <c r="B91" s="19" t="str">
        <f t="shared" si="20"/>
        <v>VANESSA GARCIA CRUZ</v>
      </c>
      <c r="C91" s="19">
        <f t="shared" si="20"/>
        <v>39119518528</v>
      </c>
      <c r="D91" s="19" t="str">
        <f t="shared" si="20"/>
        <v>GACV9512233N4</v>
      </c>
      <c r="E91" s="19" t="str">
        <f t="shared" si="20"/>
        <v>GACV951223MDFRRN00</v>
      </c>
      <c r="F91" s="107" t="str">
        <f t="shared" si="20"/>
        <v>SPD</v>
      </c>
      <c r="G91" s="20">
        <f t="shared" ca="1" si="3"/>
        <v>3670.4249199999999</v>
      </c>
      <c r="H91" s="16"/>
      <c r="I91" s="16"/>
      <c r="J91" s="16"/>
      <c r="K91" s="14"/>
      <c r="L91" s="6"/>
    </row>
    <row r="92" spans="1:12" ht="15.75" thickBot="1" x14ac:dyDescent="0.3">
      <c r="A92" s="12">
        <f t="shared" ref="A92:F92" si="21">A26</f>
        <v>382</v>
      </c>
      <c r="B92" s="19" t="str">
        <f t="shared" si="21"/>
        <v>MIRIAM GUADALUPE NERI BECERRIL</v>
      </c>
      <c r="C92" s="19">
        <f t="shared" si="21"/>
        <v>3179088640</v>
      </c>
      <c r="D92" s="19" t="str">
        <f t="shared" si="21"/>
        <v>NEBM9002035N5</v>
      </c>
      <c r="E92" s="19" t="str">
        <f t="shared" si="21"/>
        <v>NEBM900203MDFRCR08</v>
      </c>
      <c r="F92" s="107" t="str">
        <f t="shared" si="21"/>
        <v>SSJ</v>
      </c>
      <c r="G92" s="20">
        <f t="shared" ca="1" si="3"/>
        <v>3670.4249199999999</v>
      </c>
      <c r="H92" s="16"/>
      <c r="I92" s="16"/>
      <c r="J92" s="16"/>
      <c r="K92" s="14"/>
      <c r="L92" s="6"/>
    </row>
    <row r="93" spans="1:12" ht="15.75" thickBot="1" x14ac:dyDescent="0.3">
      <c r="A93" s="12">
        <f t="shared" ref="A93:F93" si="22">A27</f>
        <v>398</v>
      </c>
      <c r="B93" s="19" t="str">
        <f t="shared" si="22"/>
        <v>JOSE ARMANDO OROZCO CASTILLO</v>
      </c>
      <c r="C93" s="19">
        <f t="shared" si="22"/>
        <v>45159813687</v>
      </c>
      <c r="D93" s="19" t="str">
        <f t="shared" si="22"/>
        <v>OOCA981129J47</v>
      </c>
      <c r="E93" s="19" t="str">
        <f t="shared" si="22"/>
        <v>OOCA981129HDFRSR02</v>
      </c>
      <c r="F93" s="107" t="str">
        <f t="shared" si="22"/>
        <v>SPC</v>
      </c>
      <c r="G93" s="20">
        <f t="shared" ca="1" si="3"/>
        <v>3670.4249199999999</v>
      </c>
      <c r="H93" s="16"/>
      <c r="I93" s="16"/>
      <c r="J93" s="16"/>
      <c r="K93" s="14"/>
      <c r="L93" s="6"/>
    </row>
    <row r="94" spans="1:12" ht="15.75" thickBot="1" x14ac:dyDescent="0.3">
      <c r="A94" s="12">
        <f t="shared" ref="A94:F94" si="23">A28</f>
        <v>400</v>
      </c>
      <c r="B94" s="19" t="str">
        <f t="shared" si="23"/>
        <v>LANOLYN ALONDRA MARTINEZ RODRIGUEZ</v>
      </c>
      <c r="C94" s="19">
        <f t="shared" si="23"/>
        <v>39139718595</v>
      </c>
      <c r="D94" s="19" t="str">
        <f t="shared" si="23"/>
        <v>MARL9711211K2</v>
      </c>
      <c r="E94" s="19" t="str">
        <f t="shared" si="23"/>
        <v>MARL971121MDFRDN04</v>
      </c>
      <c r="F94" s="107" t="str">
        <f t="shared" si="23"/>
        <v>SPC</v>
      </c>
      <c r="G94" s="20">
        <f t="shared" ca="1" si="3"/>
        <v>3670.4249199999999</v>
      </c>
      <c r="H94" s="16"/>
      <c r="I94" s="16"/>
      <c r="J94" s="16"/>
      <c r="K94" s="14"/>
      <c r="L94" s="6"/>
    </row>
    <row r="95" spans="1:12" ht="15.75" thickBot="1" x14ac:dyDescent="0.3">
      <c r="A95" s="12">
        <f t="shared" ref="A95:F95" si="24">A29</f>
        <v>403</v>
      </c>
      <c r="B95" s="19" t="str">
        <f t="shared" si="24"/>
        <v>WENDY KARINA NAJERA VILLAFAÑA</v>
      </c>
      <c r="C95" s="19">
        <f t="shared" si="24"/>
        <v>39129005318</v>
      </c>
      <c r="D95" s="19" t="str">
        <f t="shared" si="24"/>
        <v>NAVW900811VD3</v>
      </c>
      <c r="E95" s="19" t="str">
        <f t="shared" si="24"/>
        <v>NAVW900811MDFJLN01</v>
      </c>
      <c r="F95" s="107" t="str">
        <f t="shared" si="24"/>
        <v>SMH</v>
      </c>
      <c r="G95" s="20">
        <f t="shared" ca="1" si="3"/>
        <v>3670.4249199999999</v>
      </c>
      <c r="H95" s="16"/>
      <c r="I95" s="16"/>
      <c r="J95" s="16"/>
      <c r="K95" s="14"/>
      <c r="L95" s="6"/>
    </row>
    <row r="96" spans="1:12" ht="15.75" thickBot="1" x14ac:dyDescent="0.3">
      <c r="A96" s="12">
        <f t="shared" ref="A96:F96" si="25">A30</f>
        <v>423</v>
      </c>
      <c r="B96" s="19" t="str">
        <f t="shared" si="25"/>
        <v>DIANA ANDREA MOYA MANRIQUE</v>
      </c>
      <c r="C96" s="19">
        <f t="shared" si="25"/>
        <v>39149935999</v>
      </c>
      <c r="D96" s="19" t="str">
        <f t="shared" si="25"/>
        <v>MOMD9902126G2</v>
      </c>
      <c r="E96" s="19" t="str">
        <f t="shared" si="25"/>
        <v>MOMD990212MDFYNN06</v>
      </c>
      <c r="F96" s="107" t="str">
        <f t="shared" si="25"/>
        <v>SSJ</v>
      </c>
      <c r="G96" s="20">
        <f t="shared" ca="1" si="3"/>
        <v>3670.4249199999999</v>
      </c>
      <c r="H96" s="16"/>
      <c r="I96" s="16"/>
      <c r="J96" s="16"/>
      <c r="K96" s="14"/>
      <c r="L96" s="6"/>
    </row>
    <row r="97" spans="1:12" ht="15.75" thickBot="1" x14ac:dyDescent="0.3">
      <c r="A97" s="12">
        <f t="shared" ref="A97:F97" si="26">A31</f>
        <v>425</v>
      </c>
      <c r="B97" s="19" t="str">
        <f t="shared" si="26"/>
        <v>UZZIEL OSMAR PIÑA CABALLERO</v>
      </c>
      <c r="C97" s="19">
        <f t="shared" si="26"/>
        <v>45109513908</v>
      </c>
      <c r="D97" s="19" t="str">
        <f t="shared" si="26"/>
        <v>PICU950611N87</v>
      </c>
      <c r="E97" s="19" t="str">
        <f t="shared" si="26"/>
        <v>PICU950611HDFXBZ04</v>
      </c>
      <c r="F97" s="107" t="str">
        <f t="shared" si="26"/>
        <v>SSF</v>
      </c>
      <c r="G97" s="20">
        <f t="shared" ca="1" si="3"/>
        <v>3670.4249199999999</v>
      </c>
      <c r="H97" s="16"/>
      <c r="I97" s="16"/>
      <c r="J97" s="16"/>
      <c r="K97" s="14"/>
      <c r="L97" s="6"/>
    </row>
    <row r="98" spans="1:12" ht="15.75" thickBot="1" x14ac:dyDescent="0.3">
      <c r="A98" s="12">
        <f t="shared" ref="A98:F98" si="27">A32</f>
        <v>426</v>
      </c>
      <c r="B98" s="19" t="str">
        <f t="shared" si="27"/>
        <v>CLAUDIA COLUMBA RODRIGUEZ DIAZ</v>
      </c>
      <c r="C98" s="19">
        <f t="shared" si="27"/>
        <v>20917243774</v>
      </c>
      <c r="D98" s="19" t="str">
        <f t="shared" si="27"/>
        <v>RODC7205202E9</v>
      </c>
      <c r="E98" s="19" t="str">
        <f t="shared" si="27"/>
        <v>RODC720520MDFDZL05</v>
      </c>
      <c r="F98" s="107" t="str">
        <f t="shared" si="27"/>
        <v>SPC</v>
      </c>
      <c r="G98" s="20">
        <f t="shared" ca="1" si="3"/>
        <v>3670.4249199999999</v>
      </c>
      <c r="H98" s="16"/>
      <c r="I98" s="16"/>
      <c r="J98" s="16"/>
      <c r="K98" s="14"/>
      <c r="L98" s="6"/>
    </row>
    <row r="99" spans="1:12" ht="15.75" thickBot="1" x14ac:dyDescent="0.3">
      <c r="A99" s="12">
        <f t="shared" ref="A99:F99" si="28">A33</f>
        <v>440</v>
      </c>
      <c r="B99" s="19" t="str">
        <f t="shared" si="28"/>
        <v>AXEL MANUEL OROZCO CASTILLO</v>
      </c>
      <c r="C99" s="19">
        <f t="shared" si="28"/>
        <v>25149337872</v>
      </c>
      <c r="D99" s="19" t="str">
        <f t="shared" si="28"/>
        <v>OOCA930506E92</v>
      </c>
      <c r="E99" s="19" t="str">
        <f t="shared" si="28"/>
        <v>OOCA930506HDFRSX04</v>
      </c>
      <c r="F99" s="107" t="str">
        <f t="shared" si="28"/>
        <v>SSF</v>
      </c>
      <c r="G99" s="20">
        <f t="shared" ca="1" si="3"/>
        <v>3670.4249199999999</v>
      </c>
      <c r="H99" s="16"/>
      <c r="I99" s="16"/>
      <c r="J99" s="16"/>
      <c r="K99" s="14"/>
      <c r="L99" s="6"/>
    </row>
    <row r="100" spans="1:12" ht="15.75" thickBot="1" x14ac:dyDescent="0.3">
      <c r="A100" s="12">
        <f t="shared" ref="A100:F100" si="29">A34</f>
        <v>441</v>
      </c>
      <c r="B100" s="19" t="str">
        <f t="shared" si="29"/>
        <v>ALONSO NAHUI GUZMAN NAVA</v>
      </c>
      <c r="C100" s="19">
        <f t="shared" si="29"/>
        <v>45149958212</v>
      </c>
      <c r="D100" s="19" t="str">
        <f t="shared" si="29"/>
        <v>GUNA990904QT1</v>
      </c>
      <c r="E100" s="19" t="str">
        <f t="shared" si="29"/>
        <v>GUNA990904HDFZVL01</v>
      </c>
      <c r="F100" s="107" t="str">
        <f t="shared" si="29"/>
        <v>SPD</v>
      </c>
      <c r="G100" s="20">
        <f t="shared" ca="1" si="3"/>
        <v>3670.4249199999999</v>
      </c>
      <c r="H100" s="16"/>
      <c r="I100" s="16"/>
      <c r="J100" s="16"/>
      <c r="K100" s="14"/>
      <c r="L100" s="6"/>
    </row>
    <row r="101" spans="1:12" ht="15.75" thickBot="1" x14ac:dyDescent="0.3">
      <c r="A101" s="12">
        <f t="shared" ref="A101:F101" si="30">A35</f>
        <v>464</v>
      </c>
      <c r="B101" s="19" t="str">
        <f t="shared" si="30"/>
        <v>MARIA DEL CARMEN GUERRA HERNANDEZ</v>
      </c>
      <c r="C101" s="19">
        <f t="shared" si="30"/>
        <v>45139314913</v>
      </c>
      <c r="D101" s="19" t="str">
        <f t="shared" si="30"/>
        <v>GUHC930711HI3</v>
      </c>
      <c r="E101" s="19" t="str">
        <f t="shared" si="30"/>
        <v>GUHC930711MPLRRR02</v>
      </c>
      <c r="F101" s="107" t="str">
        <f t="shared" si="30"/>
        <v>SSF</v>
      </c>
      <c r="G101" s="20">
        <f t="shared" ca="1" si="3"/>
        <v>3670.4249199999999</v>
      </c>
      <c r="H101" s="16"/>
      <c r="I101" s="16"/>
      <c r="J101" s="16"/>
      <c r="K101" s="14"/>
      <c r="L101" s="6"/>
    </row>
    <row r="102" spans="1:12" ht="15.75" thickBot="1" x14ac:dyDescent="0.3">
      <c r="A102" s="12">
        <f t="shared" ref="A102:F102" si="31">A36</f>
        <v>481</v>
      </c>
      <c r="B102" s="19" t="str">
        <f t="shared" si="31"/>
        <v>VIRIDIAN ALVAREZ RODRIGUEZ</v>
      </c>
      <c r="C102" s="19">
        <f t="shared" si="31"/>
        <v>45139745496</v>
      </c>
      <c r="D102" s="19" t="str">
        <f t="shared" si="31"/>
        <v>AARV970103JZ4</v>
      </c>
      <c r="E102" s="19" t="str">
        <f t="shared" si="31"/>
        <v>AARV970103MDFLDR09</v>
      </c>
      <c r="F102" s="107" t="str">
        <f t="shared" si="31"/>
        <v>SSF</v>
      </c>
      <c r="G102" s="20">
        <f t="shared" ca="1" si="3"/>
        <v>3670.4249199999999</v>
      </c>
      <c r="H102" s="16"/>
      <c r="I102" s="16"/>
      <c r="J102" s="16"/>
      <c r="K102" s="14"/>
      <c r="L102" s="6"/>
    </row>
    <row r="103" spans="1:12" ht="15.75" thickBot="1" x14ac:dyDescent="0.3">
      <c r="A103" s="12">
        <f t="shared" ref="A103:F103" si="32">A37</f>
        <v>491</v>
      </c>
      <c r="B103" s="19" t="str">
        <f t="shared" si="32"/>
        <v>ALEJANDRA HERNANDEZ JUAREZ</v>
      </c>
      <c r="C103" s="19">
        <f t="shared" si="32"/>
        <v>8159669533</v>
      </c>
      <c r="D103" s="19" t="str">
        <f t="shared" si="32"/>
        <v>HEJA9604106P9</v>
      </c>
      <c r="E103" s="19" t="str">
        <f t="shared" si="32"/>
        <v>HEJA960410MDFRRL02</v>
      </c>
      <c r="F103" s="107" t="str">
        <f t="shared" si="32"/>
        <v>SAJ</v>
      </c>
      <c r="G103" s="20">
        <f t="shared" ca="1" si="3"/>
        <v>3670.4249199999999</v>
      </c>
      <c r="H103" s="16"/>
      <c r="I103" s="16"/>
      <c r="J103" s="16"/>
      <c r="K103" s="14"/>
      <c r="L103" s="6"/>
    </row>
    <row r="104" spans="1:12" ht="15.75" thickBot="1" x14ac:dyDescent="0.3">
      <c r="A104" s="12">
        <f t="shared" ref="A104:F104" si="33">A38</f>
        <v>513</v>
      </c>
      <c r="B104" s="19" t="str">
        <f t="shared" si="33"/>
        <v>ARACELI ESTRADA ROMERO</v>
      </c>
      <c r="C104" s="19">
        <f t="shared" si="33"/>
        <v>6836500915</v>
      </c>
      <c r="D104" s="19" t="str">
        <f t="shared" si="33"/>
        <v>EARA651013IC7</v>
      </c>
      <c r="E104" s="19" t="str">
        <f t="shared" si="33"/>
        <v>EARA651013MDFSMR08</v>
      </c>
      <c r="F104" s="107" t="str">
        <f t="shared" si="33"/>
        <v>ACF</v>
      </c>
      <c r="G104" s="20">
        <f t="shared" ca="1" si="3"/>
        <v>3670.4249199999999</v>
      </c>
      <c r="H104" s="16"/>
      <c r="I104" s="16"/>
      <c r="J104" s="16"/>
      <c r="K104" s="14"/>
      <c r="L104" s="6"/>
    </row>
    <row r="105" spans="1:12" ht="15.75" thickBot="1" x14ac:dyDescent="0.3">
      <c r="A105" s="12">
        <f t="shared" ref="A105:F105" si="34">A39</f>
        <v>514</v>
      </c>
      <c r="B105" s="19" t="str">
        <f t="shared" si="34"/>
        <v>KARLA AURORA BRAVO DOMINGUEZ</v>
      </c>
      <c r="C105" s="19">
        <f t="shared" si="34"/>
        <v>39139818106</v>
      </c>
      <c r="D105" s="19" t="str">
        <f t="shared" si="34"/>
        <v>BADK9802134D7</v>
      </c>
      <c r="E105" s="19" t="str">
        <f t="shared" si="34"/>
        <v>BADK980213MVZRMR07</v>
      </c>
      <c r="F105" s="107" t="str">
        <f t="shared" si="34"/>
        <v>SPC</v>
      </c>
      <c r="G105" s="20">
        <f t="shared" ca="1" si="3"/>
        <v>3670.4249199999999</v>
      </c>
      <c r="H105" s="16"/>
      <c r="I105" s="16"/>
      <c r="J105" s="16"/>
      <c r="K105" s="14"/>
      <c r="L105" s="6"/>
    </row>
    <row r="106" spans="1:12" ht="15.75" thickBot="1" x14ac:dyDescent="0.3">
      <c r="A106" s="12">
        <f t="shared" ref="A106:F106" si="35">A40</f>
        <v>518</v>
      </c>
      <c r="B106" s="19" t="str">
        <f t="shared" si="35"/>
        <v>CARLOS JOHAN REYES RODRIGUEZ</v>
      </c>
      <c r="C106" s="19">
        <f t="shared" si="35"/>
        <v>39149938894</v>
      </c>
      <c r="D106" s="19" t="str">
        <f t="shared" si="35"/>
        <v>RERC990217GTA</v>
      </c>
      <c r="E106" s="19" t="str">
        <f t="shared" si="35"/>
        <v>RERC990217HDFYDR04</v>
      </c>
      <c r="F106" s="107" t="str">
        <f t="shared" si="35"/>
        <v>SPD</v>
      </c>
      <c r="G106" s="20">
        <f t="shared" ca="1" si="3"/>
        <v>3670.4249199999999</v>
      </c>
      <c r="H106" s="16"/>
      <c r="I106" s="16"/>
      <c r="J106" s="16"/>
      <c r="K106" s="14"/>
      <c r="L106" s="6"/>
    </row>
    <row r="107" spans="1:12" ht="15.75" thickBot="1" x14ac:dyDescent="0.3">
      <c r="A107" s="12">
        <f t="shared" ref="A107:F107" si="36">A41</f>
        <v>522</v>
      </c>
      <c r="B107" s="19" t="str">
        <f t="shared" si="36"/>
        <v>JESUS GARRIDO TELLEZ</v>
      </c>
      <c r="C107" s="19">
        <f t="shared" si="36"/>
        <v>2179442773</v>
      </c>
      <c r="D107" s="19" t="str">
        <f t="shared" si="36"/>
        <v>GATJ940123E89</v>
      </c>
      <c r="E107" s="19" t="str">
        <f t="shared" si="36"/>
        <v>GATJ940123HDFRLS03</v>
      </c>
      <c r="F107" s="107" t="str">
        <f t="shared" si="36"/>
        <v>SSJ</v>
      </c>
      <c r="G107" s="20">
        <f t="shared" ca="1" si="3"/>
        <v>3670.4249199999999</v>
      </c>
      <c r="H107" s="16"/>
      <c r="I107" s="16"/>
      <c r="J107" s="16"/>
      <c r="K107" s="14"/>
      <c r="L107" s="6"/>
    </row>
    <row r="108" spans="1:12" ht="15.75" thickBot="1" x14ac:dyDescent="0.3">
      <c r="A108" s="12">
        <f t="shared" ref="A108:F108" si="37">A42</f>
        <v>530</v>
      </c>
      <c r="B108" s="19" t="str">
        <f t="shared" si="37"/>
        <v>LUIS ALAN CERVANTES CONTRERAS</v>
      </c>
      <c r="C108" s="19">
        <f t="shared" si="37"/>
        <v>62169926607</v>
      </c>
      <c r="D108" s="19" t="str">
        <f t="shared" si="37"/>
        <v>CECL990212N35</v>
      </c>
      <c r="E108" s="19" t="str">
        <f t="shared" si="37"/>
        <v>CECL990212HDFRNS00</v>
      </c>
      <c r="F108" s="107" t="str">
        <f t="shared" si="37"/>
        <v>SPC</v>
      </c>
      <c r="G108" s="20">
        <f t="shared" ca="1" si="3"/>
        <v>3670.4249199999999</v>
      </c>
      <c r="H108" s="16"/>
      <c r="I108" s="16"/>
      <c r="J108" s="16"/>
      <c r="K108" s="14"/>
      <c r="L108" s="6"/>
    </row>
    <row r="109" spans="1:12" ht="15.75" thickBot="1" x14ac:dyDescent="0.3">
      <c r="A109" s="12">
        <f t="shared" ref="A109:F109" si="38">A43</f>
        <v>541</v>
      </c>
      <c r="B109" s="19" t="str">
        <f t="shared" si="38"/>
        <v>VALERIA TOVAR CASTILLO</v>
      </c>
      <c r="C109" s="19">
        <f t="shared" si="38"/>
        <v>39149706077</v>
      </c>
      <c r="D109" s="19" t="str">
        <f t="shared" si="38"/>
        <v>TOCV971204C11</v>
      </c>
      <c r="E109" s="19" t="str">
        <f t="shared" si="38"/>
        <v>TOCV971204MDFVSL00</v>
      </c>
      <c r="F109" s="107" t="str">
        <f t="shared" si="38"/>
        <v>SSJ</v>
      </c>
      <c r="G109" s="20">
        <f t="shared" ca="1" si="3"/>
        <v>3670.4249199999999</v>
      </c>
      <c r="H109" s="16"/>
      <c r="I109" s="16"/>
      <c r="J109" s="16"/>
      <c r="K109" s="14"/>
      <c r="L109" s="6"/>
    </row>
    <row r="110" spans="1:12" ht="15.75" thickBot="1" x14ac:dyDescent="0.3">
      <c r="A110" s="12">
        <f t="shared" ref="A110:F110" si="39">A44</f>
        <v>547</v>
      </c>
      <c r="B110" s="19" t="str">
        <f t="shared" si="39"/>
        <v>KAREN ITZEL REYES PEREZ</v>
      </c>
      <c r="C110" s="19">
        <f t="shared" si="39"/>
        <v>39090000520</v>
      </c>
      <c r="D110" s="19" t="str">
        <f t="shared" si="39"/>
        <v>REPK000920N55</v>
      </c>
      <c r="E110" s="19" t="str">
        <f t="shared" si="39"/>
        <v>REPK000920MDFYRRA5</v>
      </c>
      <c r="F110" s="107" t="str">
        <f t="shared" si="39"/>
        <v>SPC</v>
      </c>
      <c r="G110" s="20">
        <f t="shared" ca="1" si="3"/>
        <v>3670.4249199999999</v>
      </c>
      <c r="H110" s="16"/>
      <c r="I110" s="16"/>
      <c r="J110" s="16"/>
      <c r="K110" s="14"/>
      <c r="L110" s="6"/>
    </row>
    <row r="111" spans="1:12" ht="15.75" thickBot="1" x14ac:dyDescent="0.3">
      <c r="A111" s="12">
        <f t="shared" ref="A111:F111" si="40">A45</f>
        <v>550</v>
      </c>
      <c r="B111" s="19" t="str">
        <f t="shared" si="40"/>
        <v>CITLALY ODET ORDOÑEZ CORONA</v>
      </c>
      <c r="C111" s="19">
        <f t="shared" si="40"/>
        <v>39139563272</v>
      </c>
      <c r="D111" s="19" t="str">
        <f t="shared" si="40"/>
        <v>OOCC9502211D3</v>
      </c>
      <c r="E111" s="19" t="str">
        <f t="shared" si="40"/>
        <v>OOCC950221MDFRRT10</v>
      </c>
      <c r="F111" s="107" t="str">
        <f t="shared" si="40"/>
        <v>SAJ</v>
      </c>
      <c r="G111" s="20">
        <f t="shared" ca="1" si="3"/>
        <v>3670.4249199999999</v>
      </c>
      <c r="H111" s="16"/>
      <c r="I111" s="16"/>
      <c r="J111" s="16"/>
      <c r="K111" s="14"/>
      <c r="L111" s="6"/>
    </row>
    <row r="112" spans="1:12" ht="15.75" thickBot="1" x14ac:dyDescent="0.3">
      <c r="A112" s="12">
        <f t="shared" ref="A112:F112" si="41">A46</f>
        <v>552</v>
      </c>
      <c r="B112" s="19" t="str">
        <f t="shared" si="41"/>
        <v>SEBASTIAN CHAVEZ GOMEZ</v>
      </c>
      <c r="C112" s="19">
        <f t="shared" si="41"/>
        <v>46160032697</v>
      </c>
      <c r="D112" s="19" t="str">
        <f t="shared" si="41"/>
        <v>CAGS000214DG1</v>
      </c>
      <c r="E112" s="19" t="str">
        <f t="shared" si="41"/>
        <v>CAGS000214HDFHMBA2</v>
      </c>
      <c r="F112" s="107" t="str">
        <f t="shared" si="41"/>
        <v>SPC</v>
      </c>
      <c r="G112" s="20">
        <f t="shared" ca="1" si="3"/>
        <v>3670.4249199999999</v>
      </c>
      <c r="H112" s="16"/>
      <c r="I112" s="16"/>
      <c r="J112" s="16"/>
      <c r="K112" s="14"/>
      <c r="L112" s="6"/>
    </row>
    <row r="113" spans="1:12" ht="15.75" thickBot="1" x14ac:dyDescent="0.3">
      <c r="A113" s="12">
        <f t="shared" ref="A113:F113" si="42">A47</f>
        <v>554</v>
      </c>
      <c r="B113" s="19" t="str">
        <f t="shared" si="42"/>
        <v>MICHAEL ANGELLO BRAVO DOMINGUEZ</v>
      </c>
      <c r="C113" s="19">
        <f t="shared" si="42"/>
        <v>39139419202</v>
      </c>
      <c r="D113" s="19" t="str">
        <f t="shared" si="42"/>
        <v>BADM9402052Y0</v>
      </c>
      <c r="E113" s="19" t="str">
        <f t="shared" si="42"/>
        <v>BADM940205HVZRMC09</v>
      </c>
      <c r="F113" s="107" t="str">
        <f t="shared" si="42"/>
        <v>SAJ</v>
      </c>
      <c r="G113" s="20">
        <f t="shared" ca="1" si="3"/>
        <v>3670.4249199999999</v>
      </c>
      <c r="H113" s="16"/>
      <c r="I113" s="16"/>
      <c r="J113" s="16"/>
      <c r="K113" s="14"/>
      <c r="L113" s="6"/>
    </row>
    <row r="114" spans="1:12" ht="15.75" thickBot="1" x14ac:dyDescent="0.3">
      <c r="A114" s="12">
        <f t="shared" ref="A114:F114" si="43">A48</f>
        <v>566</v>
      </c>
      <c r="B114" s="19" t="str">
        <f t="shared" si="43"/>
        <v>CRISTINA YOVANNE SANTANA TAPIA</v>
      </c>
      <c r="C114" s="19">
        <f t="shared" si="43"/>
        <v>38149322208</v>
      </c>
      <c r="D114" s="19" t="str">
        <f t="shared" si="43"/>
        <v>SATC930618MY4</v>
      </c>
      <c r="E114" s="19" t="str">
        <f t="shared" si="43"/>
        <v>SATC930618MDFNPR05</v>
      </c>
      <c r="F114" s="107" t="str">
        <f t="shared" si="43"/>
        <v>SAJ</v>
      </c>
      <c r="G114" s="20">
        <f t="shared" ca="1" si="3"/>
        <v>3670.4249199999999</v>
      </c>
      <c r="H114" s="16"/>
      <c r="I114" s="16"/>
      <c r="J114" s="16"/>
      <c r="K114" s="14"/>
      <c r="L114" s="6"/>
    </row>
    <row r="115" spans="1:12" ht="15.75" thickBot="1" x14ac:dyDescent="0.3">
      <c r="A115" s="12">
        <f t="shared" ref="A115:F115" si="44">A49</f>
        <v>567</v>
      </c>
      <c r="B115" s="19" t="str">
        <f t="shared" si="44"/>
        <v>MARIA ISABEL MONTALVO CONTRERAS</v>
      </c>
      <c r="C115" s="19">
        <f t="shared" si="44"/>
        <v>11987202311</v>
      </c>
      <c r="D115" s="19" t="str">
        <f t="shared" si="44"/>
        <v>MOCI720615VBA</v>
      </c>
      <c r="E115" s="19" t="str">
        <f t="shared" si="44"/>
        <v>MOCI720615MDFNNS01</v>
      </c>
      <c r="F115" s="107" t="str">
        <f t="shared" si="44"/>
        <v>SPD</v>
      </c>
      <c r="G115" s="20">
        <f t="shared" ca="1" si="3"/>
        <v>3670.4249199999999</v>
      </c>
      <c r="H115" s="16"/>
      <c r="I115" s="16"/>
      <c r="J115" s="16"/>
      <c r="K115" s="14"/>
      <c r="L115" s="6"/>
    </row>
    <row r="116" spans="1:12" ht="15.75" thickBot="1" x14ac:dyDescent="0.3">
      <c r="A116" s="12">
        <f t="shared" ref="A116:F116" si="45">A50</f>
        <v>573</v>
      </c>
      <c r="B116" s="19" t="str">
        <f t="shared" si="45"/>
        <v>MARIA FERNANDA CORTES VAZQUEZ</v>
      </c>
      <c r="C116" s="19">
        <f t="shared" si="45"/>
        <v>5149792730</v>
      </c>
      <c r="D116" s="19" t="str">
        <f t="shared" si="45"/>
        <v>COVF970320FA0</v>
      </c>
      <c r="E116" s="19" t="str">
        <f t="shared" si="45"/>
        <v>COVF970320MDFRZR07</v>
      </c>
      <c r="F116" s="107" t="str">
        <f t="shared" si="45"/>
        <v>SSJ</v>
      </c>
      <c r="G116" s="20">
        <f t="shared" ca="1" si="3"/>
        <v>8463.40344</v>
      </c>
      <c r="H116" s="16"/>
      <c r="I116" s="16"/>
      <c r="J116" s="16"/>
      <c r="K116" s="14"/>
      <c r="L116" s="6"/>
    </row>
    <row r="117" spans="1:12" ht="15.75" thickBot="1" x14ac:dyDescent="0.3">
      <c r="A117" s="12">
        <f t="shared" ref="A117:F117" si="46">A51</f>
        <v>576</v>
      </c>
      <c r="B117" s="19" t="str">
        <f t="shared" si="46"/>
        <v>ADRIANA LUCIA ESCOBEDO MAGDALENO</v>
      </c>
      <c r="C117" s="19">
        <f t="shared" si="46"/>
        <v>39119248225</v>
      </c>
      <c r="D117" s="19" t="str">
        <f t="shared" si="46"/>
        <v>EOMA920926TV3</v>
      </c>
      <c r="E117" s="19" t="str">
        <f t="shared" si="46"/>
        <v>EOMA920926MDFSGD01</v>
      </c>
      <c r="F117" s="107" t="str">
        <f t="shared" si="46"/>
        <v>SSJ</v>
      </c>
      <c r="G117" s="20">
        <f t="shared" ca="1" si="3"/>
        <v>3670.4249199999999</v>
      </c>
      <c r="H117" s="16"/>
      <c r="I117" s="16"/>
      <c r="J117" s="16"/>
      <c r="K117" s="14"/>
      <c r="L117" s="6"/>
    </row>
    <row r="118" spans="1:12" ht="15.75" thickBot="1" x14ac:dyDescent="0.3">
      <c r="A118" s="12">
        <f t="shared" ref="A118:F118" si="47">A52</f>
        <v>587</v>
      </c>
      <c r="B118" s="19" t="str">
        <f t="shared" si="47"/>
        <v>ELIA LEON MEJIA</v>
      </c>
      <c r="C118" s="19">
        <f t="shared" si="47"/>
        <v>39129737803</v>
      </c>
      <c r="D118" s="19" t="str">
        <f t="shared" si="47"/>
        <v>LEME970216RH3</v>
      </c>
      <c r="E118" s="19" t="str">
        <f t="shared" si="47"/>
        <v>LEME970216MDFNJL08</v>
      </c>
      <c r="F118" s="107" t="str">
        <f t="shared" si="47"/>
        <v>SSJ</v>
      </c>
      <c r="G118" s="20">
        <f t="shared" ca="1" si="3"/>
        <v>3670.4249199999999</v>
      </c>
      <c r="H118" s="16"/>
      <c r="I118" s="16"/>
      <c r="J118" s="16"/>
      <c r="K118" s="14"/>
      <c r="L118" s="6"/>
    </row>
    <row r="119" spans="1:12" ht="15.75" thickBot="1" x14ac:dyDescent="0.3">
      <c r="A119" s="12">
        <f t="shared" ref="A119:F119" si="48">A53</f>
        <v>590</v>
      </c>
      <c r="B119" s="19" t="str">
        <f t="shared" si="48"/>
        <v>XIMENA VIRIDIANA MORA GONZALEZ</v>
      </c>
      <c r="C119" s="19">
        <f t="shared" si="48"/>
        <v>12130135168</v>
      </c>
      <c r="D119" s="19" t="str">
        <f t="shared" si="48"/>
        <v>MOGX011003PI0</v>
      </c>
      <c r="E119" s="19" t="str">
        <f t="shared" si="48"/>
        <v>MOGX011003MDFRNMA6</v>
      </c>
      <c r="F119" s="107" t="str">
        <f t="shared" si="48"/>
        <v>SAJ</v>
      </c>
      <c r="G119" s="20">
        <f t="shared" ca="1" si="3"/>
        <v>3670.4249199999999</v>
      </c>
      <c r="H119" s="16"/>
      <c r="I119" s="16"/>
      <c r="J119" s="16"/>
      <c r="K119" s="14"/>
      <c r="L119" s="6"/>
    </row>
    <row r="120" spans="1:12" ht="15.75" thickBot="1" x14ac:dyDescent="0.3">
      <c r="A120" s="12">
        <f t="shared" ref="A120:F120" si="49">A54</f>
        <v>600</v>
      </c>
      <c r="B120" s="19" t="str">
        <f t="shared" si="49"/>
        <v>NOEMI DOLORES CORREA</v>
      </c>
      <c r="C120" s="19">
        <f t="shared" si="49"/>
        <v>39139404220</v>
      </c>
      <c r="D120" s="19" t="str">
        <f t="shared" si="49"/>
        <v>DOCN940114MR7</v>
      </c>
      <c r="E120" s="19" t="str">
        <f t="shared" si="49"/>
        <v>DOCN940114MDFLRM09</v>
      </c>
      <c r="F120" s="107" t="str">
        <f t="shared" si="49"/>
        <v>SSJ</v>
      </c>
      <c r="G120" s="20">
        <f t="shared" ca="1" si="3"/>
        <v>3670.4249199999999</v>
      </c>
      <c r="H120" s="16"/>
      <c r="I120" s="16"/>
      <c r="J120" s="16"/>
      <c r="K120" s="14"/>
      <c r="L120" s="6"/>
    </row>
    <row r="121" spans="1:12" ht="15.75" thickBot="1" x14ac:dyDescent="0.3">
      <c r="A121" s="12">
        <f t="shared" ref="A121:F121" si="50">A55</f>
        <v>602</v>
      </c>
      <c r="B121" s="19" t="str">
        <f t="shared" si="50"/>
        <v>ALLAN MARTINEZ ALONSO</v>
      </c>
      <c r="C121" s="19">
        <f t="shared" si="50"/>
        <v>2179526492</v>
      </c>
      <c r="D121" s="19" t="str">
        <f t="shared" si="50"/>
        <v>MAAA951006CF2</v>
      </c>
      <c r="E121" s="19" t="str">
        <f t="shared" si="50"/>
        <v>MAAA951006HMCRLL08</v>
      </c>
      <c r="F121" s="107" t="str">
        <f t="shared" si="50"/>
        <v>SPD</v>
      </c>
      <c r="G121" s="20">
        <f t="shared" ca="1" si="3"/>
        <v>3670.4249199999999</v>
      </c>
      <c r="H121" s="16"/>
      <c r="I121" s="16"/>
      <c r="J121" s="16"/>
      <c r="K121" s="14"/>
      <c r="L121" s="6"/>
    </row>
    <row r="122" spans="1:12" ht="15.75" thickBot="1" x14ac:dyDescent="0.3">
      <c r="A122" s="12">
        <f t="shared" ref="A122:F122" si="51">A56</f>
        <v>604</v>
      </c>
      <c r="B122" s="19" t="str">
        <f t="shared" si="51"/>
        <v>ILIANA NALLELY ESTRADA ESTRADA</v>
      </c>
      <c r="C122" s="19">
        <f t="shared" si="51"/>
        <v>39078703145</v>
      </c>
      <c r="D122" s="19" t="str">
        <f t="shared" si="51"/>
        <v>EAEI8712092X9</v>
      </c>
      <c r="E122" s="19" t="str">
        <f t="shared" si="51"/>
        <v>EAEI871209MDFSSL05</v>
      </c>
      <c r="F122" s="107" t="str">
        <f t="shared" si="51"/>
        <v>ACF</v>
      </c>
      <c r="G122" s="20">
        <f t="shared" ca="1" si="3"/>
        <v>3670.4249199999999</v>
      </c>
      <c r="H122" s="16"/>
      <c r="I122" s="16"/>
      <c r="J122" s="16"/>
      <c r="K122" s="14"/>
      <c r="L122" s="6"/>
    </row>
    <row r="123" spans="1:12" ht="15.75" thickBot="1" x14ac:dyDescent="0.3">
      <c r="A123" s="12">
        <f t="shared" ref="A123:F123" si="52">A57</f>
        <v>605</v>
      </c>
      <c r="B123" s="19" t="str">
        <f t="shared" si="52"/>
        <v>ESTEFANIA NAVARRO BAEZ</v>
      </c>
      <c r="C123" s="19">
        <f t="shared" si="52"/>
        <v>39109318376</v>
      </c>
      <c r="D123" s="19" t="str">
        <f t="shared" si="52"/>
        <v>NABE930314EE8</v>
      </c>
      <c r="E123" s="19" t="str">
        <f t="shared" si="52"/>
        <v>NABE930314MDFVZS08</v>
      </c>
      <c r="F123" s="107" t="str">
        <f t="shared" si="52"/>
        <v>SPD</v>
      </c>
      <c r="G123" s="20">
        <f t="shared" ca="1" si="3"/>
        <v>3670.4249199999999</v>
      </c>
      <c r="H123" s="16"/>
      <c r="I123" s="16"/>
      <c r="J123" s="16"/>
      <c r="K123" s="14"/>
      <c r="L123" s="6"/>
    </row>
    <row r="124" spans="1:12" ht="15.75" thickBot="1" x14ac:dyDescent="0.3">
      <c r="A124" s="12">
        <f t="shared" ref="A124:F124" si="53">A58</f>
        <v>607</v>
      </c>
      <c r="B124" s="19" t="str">
        <f t="shared" si="53"/>
        <v>MARILYN   MORA ESCALANTE</v>
      </c>
      <c r="C124" s="19">
        <f t="shared" si="53"/>
        <v>42109106403</v>
      </c>
      <c r="D124" s="19" t="str">
        <f t="shared" si="53"/>
        <v>MOEM911206GB4</v>
      </c>
      <c r="E124" s="19" t="str">
        <f t="shared" si="53"/>
        <v>MOEM911206MTLRSR14</v>
      </c>
      <c r="F124" s="107" t="str">
        <f t="shared" si="53"/>
        <v>SAJ</v>
      </c>
      <c r="G124" s="20">
        <f t="shared" ca="1" si="3"/>
        <v>3670.4249199999999</v>
      </c>
      <c r="H124" s="16"/>
      <c r="I124" s="16"/>
      <c r="J124" s="16"/>
      <c r="K124" s="14"/>
      <c r="L124" s="6"/>
    </row>
    <row r="125" spans="1:12" ht="15.75" thickBot="1" x14ac:dyDescent="0.3">
      <c r="A125" s="12">
        <f t="shared" ref="A125:F125" si="54">A59</f>
        <v>609</v>
      </c>
      <c r="B125" s="19" t="str">
        <f t="shared" si="54"/>
        <v>SALMA  RUIZ AGUILAR</v>
      </c>
      <c r="C125" s="19">
        <f t="shared" si="54"/>
        <v>39149940114</v>
      </c>
      <c r="D125" s="19" t="str">
        <f t="shared" si="54"/>
        <v>RUAS9906277IA</v>
      </c>
      <c r="E125" s="19" t="str">
        <f t="shared" si="54"/>
        <v>RUAS990627MDFZGL08</v>
      </c>
      <c r="F125" s="107" t="str">
        <f t="shared" si="54"/>
        <v>SPD</v>
      </c>
      <c r="G125" s="20">
        <f t="shared" ca="1" si="3"/>
        <v>3670.4249199999999</v>
      </c>
      <c r="H125" s="16"/>
      <c r="I125" s="16"/>
      <c r="J125" s="16"/>
      <c r="K125" s="14"/>
      <c r="L125" s="6"/>
    </row>
    <row r="126" spans="1:12" ht="15.75" thickBot="1" x14ac:dyDescent="0.3">
      <c r="A126" s="12">
        <f t="shared" ref="A126:F126" si="55">A60</f>
        <v>610</v>
      </c>
      <c r="B126" s="19" t="str">
        <f t="shared" si="55"/>
        <v>ROCIO PAOLA CALVA ANTONIO</v>
      </c>
      <c r="C126" s="19">
        <f t="shared" si="55"/>
        <v>62169917671</v>
      </c>
      <c r="D126" s="19" t="str">
        <f t="shared" si="55"/>
        <v>CAAR990826SF5</v>
      </c>
      <c r="E126" s="19" t="str">
        <f t="shared" si="55"/>
        <v>CAAR990826MDFLNC09</v>
      </c>
      <c r="F126" s="107" t="str">
        <f t="shared" si="55"/>
        <v>SPC</v>
      </c>
      <c r="G126" s="20">
        <f t="shared" ca="1" si="3"/>
        <v>3670.4249199999999</v>
      </c>
      <c r="H126" s="16"/>
      <c r="I126" s="16"/>
      <c r="J126" s="16"/>
      <c r="K126" s="14"/>
      <c r="L126" s="6"/>
    </row>
    <row r="127" spans="1:12" ht="15.75" thickBot="1" x14ac:dyDescent="0.3">
      <c r="A127" s="12">
        <f t="shared" ref="A127:F127" si="56">A61</f>
        <v>611</v>
      </c>
      <c r="B127" s="19" t="str">
        <f t="shared" si="56"/>
        <v>NORMA BELEN CASTILLO PEÑA</v>
      </c>
      <c r="C127" s="19">
        <f t="shared" si="56"/>
        <v>39047500283</v>
      </c>
      <c r="D127" s="19" t="str">
        <f t="shared" si="56"/>
        <v>CAPN750202EM0</v>
      </c>
      <c r="E127" s="19" t="str">
        <f t="shared" si="56"/>
        <v>CAPN750202MDFSXR08</v>
      </c>
      <c r="F127" s="107" t="str">
        <f t="shared" si="56"/>
        <v>SSF</v>
      </c>
      <c r="G127" s="20">
        <f t="shared" ca="1" si="3"/>
        <v>3670.4249199999999</v>
      </c>
      <c r="H127" s="16"/>
      <c r="I127" s="16"/>
      <c r="J127" s="16"/>
      <c r="K127" s="14"/>
      <c r="L127" s="6"/>
    </row>
    <row r="128" spans="1:12" x14ac:dyDescent="0.25">
      <c r="A128" s="6"/>
      <c r="B128" s="6"/>
      <c r="C128" s="6"/>
      <c r="D128" s="6"/>
      <c r="E128" s="6"/>
      <c r="F128" s="6"/>
      <c r="G128" s="7"/>
      <c r="H128" s="6"/>
      <c r="I128" s="6"/>
      <c r="J128" s="6"/>
      <c r="K128" s="6"/>
      <c r="L128" s="6"/>
    </row>
    <row r="129" spans="1:13" x14ac:dyDescent="0.25">
      <c r="A129" s="6"/>
      <c r="B129" s="6"/>
      <c r="C129" s="6"/>
      <c r="D129" s="6"/>
      <c r="E129" s="6"/>
      <c r="F129" s="6"/>
      <c r="G129" s="7"/>
      <c r="H129" s="6"/>
      <c r="I129" s="6"/>
      <c r="J129" s="6"/>
      <c r="K129" s="6"/>
      <c r="L129" s="6"/>
    </row>
    <row r="130" spans="1:13" x14ac:dyDescent="0.25">
      <c r="A130" s="6"/>
      <c r="B130" s="6" t="s">
        <v>44</v>
      </c>
      <c r="C130" s="6"/>
      <c r="D130" s="6"/>
      <c r="G130" s="6" t="s">
        <v>45</v>
      </c>
      <c r="H130" s="6"/>
      <c r="I130" s="6"/>
      <c r="J130" s="6"/>
      <c r="K130" s="6"/>
      <c r="L130" s="6"/>
    </row>
    <row r="131" spans="1:13" x14ac:dyDescent="0.25">
      <c r="A131" s="6"/>
      <c r="B131" s="6"/>
      <c r="C131" s="6"/>
      <c r="D131" s="6"/>
      <c r="E131" s="6"/>
      <c r="F131" s="6"/>
      <c r="G131" s="7"/>
      <c r="H131" s="6"/>
      <c r="I131" s="6"/>
      <c r="J131" s="6"/>
      <c r="K131" s="6"/>
      <c r="L131" s="6"/>
    </row>
    <row r="132" spans="1:13" x14ac:dyDescent="0.25">
      <c r="A132" s="6"/>
      <c r="B132" s="9"/>
      <c r="C132" s="9"/>
      <c r="D132" s="6"/>
      <c r="E132" s="6"/>
      <c r="F132" s="6"/>
      <c r="G132" s="7"/>
      <c r="H132" s="9"/>
      <c r="I132" s="9"/>
      <c r="J132" s="9"/>
      <c r="K132" s="9"/>
      <c r="L132" s="6"/>
      <c r="M132" s="6"/>
    </row>
  </sheetData>
  <mergeCells count="1">
    <mergeCell ref="H72:K72"/>
  </mergeCells>
  <phoneticPr fontId="4" type="noConversion"/>
  <printOptions horizontalCentered="1" verticalCentered="1"/>
  <pageMargins left="0.39370078740157483" right="0.39370078740157483" top="0.39370078740157483" bottom="0.39370078740157483" header="0" footer="0"/>
  <pageSetup scale="50" fitToHeight="2" orientation="landscape" r:id="rId1"/>
  <headerFooter alignWithMargins="0"/>
  <rowBreaks count="1" manualBreakCount="1">
    <brk id="66" max="10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S52"/>
  <sheetViews>
    <sheetView workbookViewId="0">
      <selection activeCell="F4" sqref="F4"/>
    </sheetView>
  </sheetViews>
  <sheetFormatPr baseColWidth="10" defaultRowHeight="15" x14ac:dyDescent="0.25"/>
  <cols>
    <col min="2" max="2" width="11.85546875" bestFit="1" customWidth="1"/>
    <col min="18" max="18" width="14.140625" customWidth="1"/>
    <col min="22" max="23" width="11.85546875" bestFit="1" customWidth="1"/>
  </cols>
  <sheetData>
    <row r="1" spans="1:19" x14ac:dyDescent="0.25">
      <c r="A1" t="s">
        <v>59</v>
      </c>
      <c r="B1" t="s">
        <v>60</v>
      </c>
      <c r="D1" t="s">
        <v>61</v>
      </c>
      <c r="E1" t="s">
        <v>62</v>
      </c>
      <c r="G1" t="s">
        <v>350</v>
      </c>
    </row>
    <row r="2" spans="1:19" ht="15.75" thickBot="1" x14ac:dyDescent="0.3">
      <c r="A2" t="s">
        <v>22</v>
      </c>
      <c r="B2">
        <v>31</v>
      </c>
      <c r="D2" t="s">
        <v>53</v>
      </c>
      <c r="E2">
        <f ca="1">B2+B3</f>
        <v>60</v>
      </c>
    </row>
    <row r="3" spans="1:19" ht="44.25" thickBot="1" x14ac:dyDescent="0.3">
      <c r="A3" t="s">
        <v>23</v>
      </c>
      <c r="B3" s="117">
        <f ca="1">IF((DAY(DATE(YEAR(TODAY()), 3, 1)-1)=29), 29, 28)</f>
        <v>29</v>
      </c>
      <c r="D3" t="s">
        <v>54</v>
      </c>
      <c r="E3">
        <f>B4+B5</f>
        <v>61</v>
      </c>
      <c r="G3" s="47" t="s">
        <v>355</v>
      </c>
      <c r="H3" s="47" t="s">
        <v>356</v>
      </c>
      <c r="P3" s="94" t="s">
        <v>500</v>
      </c>
      <c r="Q3" s="95" t="s">
        <v>499</v>
      </c>
      <c r="R3" s="95" t="s">
        <v>501</v>
      </c>
      <c r="S3" s="95" t="s">
        <v>502</v>
      </c>
    </row>
    <row r="4" spans="1:19" ht="15.75" thickBot="1" x14ac:dyDescent="0.3">
      <c r="A4" t="s">
        <v>24</v>
      </c>
      <c r="B4">
        <v>31</v>
      </c>
      <c r="D4" t="s">
        <v>55</v>
      </c>
      <c r="E4">
        <f>B6+B7</f>
        <v>61</v>
      </c>
      <c r="G4" s="47" t="s">
        <v>351</v>
      </c>
      <c r="H4" s="47">
        <v>0.54354999999999998</v>
      </c>
      <c r="P4" s="96">
        <v>1</v>
      </c>
      <c r="Q4" s="97">
        <v>100</v>
      </c>
      <c r="R4" s="98">
        <v>1.0451999999999999</v>
      </c>
      <c r="S4" s="97">
        <v>104.52</v>
      </c>
    </row>
    <row r="5" spans="1:19" ht="15.75" thickBot="1" x14ac:dyDescent="0.3">
      <c r="A5" t="s">
        <v>25</v>
      </c>
      <c r="B5">
        <v>30</v>
      </c>
      <c r="D5" t="s">
        <v>56</v>
      </c>
      <c r="E5">
        <f>B8+B9</f>
        <v>62</v>
      </c>
      <c r="G5" s="47" t="s">
        <v>357</v>
      </c>
      <c r="H5" s="47">
        <v>1.1306499999999999</v>
      </c>
      <c r="P5" s="96">
        <v>2</v>
      </c>
      <c r="Q5" s="97">
        <v>100</v>
      </c>
      <c r="R5" s="98">
        <v>1.0465</v>
      </c>
      <c r="S5" s="97">
        <v>104.65</v>
      </c>
    </row>
    <row r="6" spans="1:19" ht="15.75" thickBot="1" x14ac:dyDescent="0.3">
      <c r="A6" t="s">
        <v>26</v>
      </c>
      <c r="B6">
        <v>31</v>
      </c>
      <c r="D6" t="s">
        <v>57</v>
      </c>
      <c r="E6">
        <f>B10+B11</f>
        <v>61</v>
      </c>
      <c r="G6" s="47" t="s">
        <v>352</v>
      </c>
      <c r="H6" s="47">
        <v>2.5983999999999998</v>
      </c>
      <c r="P6" s="96">
        <v>3</v>
      </c>
      <c r="Q6" s="97">
        <v>100</v>
      </c>
      <c r="R6" s="98">
        <v>1.0479000000000001</v>
      </c>
      <c r="S6" s="97">
        <v>104.79</v>
      </c>
    </row>
    <row r="7" spans="1:19" ht="15.75" thickBot="1" x14ac:dyDescent="0.3">
      <c r="A7" t="s">
        <v>15</v>
      </c>
      <c r="B7">
        <v>30</v>
      </c>
      <c r="D7" t="s">
        <v>58</v>
      </c>
      <c r="E7">
        <f>B12+B13</f>
        <v>61</v>
      </c>
      <c r="G7" s="47" t="s">
        <v>353</v>
      </c>
      <c r="H7" s="47">
        <v>4.6532499999999999</v>
      </c>
      <c r="P7" s="96">
        <v>4</v>
      </c>
      <c r="Q7" s="97">
        <v>100</v>
      </c>
      <c r="R7" s="98">
        <v>1.0492999999999999</v>
      </c>
      <c r="S7" s="97">
        <v>104.93</v>
      </c>
    </row>
    <row r="8" spans="1:19" ht="15.75" thickBot="1" x14ac:dyDescent="0.3">
      <c r="A8" t="s">
        <v>16</v>
      </c>
      <c r="B8">
        <v>31</v>
      </c>
      <c r="G8" s="47" t="s">
        <v>354</v>
      </c>
      <c r="H8" s="47">
        <v>7.5887500000000001</v>
      </c>
      <c r="P8" s="99">
        <v>5</v>
      </c>
    </row>
    <row r="9" spans="1:19" x14ac:dyDescent="0.25">
      <c r="A9" t="s">
        <v>17</v>
      </c>
      <c r="B9">
        <v>31</v>
      </c>
      <c r="G9" s="48" t="s">
        <v>358</v>
      </c>
      <c r="P9" s="99">
        <v>6</v>
      </c>
    </row>
    <row r="10" spans="1:19" ht="25.5" x14ac:dyDescent="0.35">
      <c r="A10" t="s">
        <v>18</v>
      </c>
      <c r="B10">
        <v>30</v>
      </c>
      <c r="G10" s="49" t="s">
        <v>359</v>
      </c>
      <c r="P10" s="99">
        <v>7</v>
      </c>
    </row>
    <row r="11" spans="1:19" x14ac:dyDescent="0.25">
      <c r="A11" t="s">
        <v>19</v>
      </c>
      <c r="B11">
        <v>31</v>
      </c>
      <c r="P11" s="99">
        <v>8</v>
      </c>
    </row>
    <row r="12" spans="1:19" x14ac:dyDescent="0.25">
      <c r="A12" t="s">
        <v>20</v>
      </c>
      <c r="B12">
        <v>30</v>
      </c>
      <c r="G12" s="50" t="s">
        <v>360</v>
      </c>
      <c r="P12" s="99">
        <v>9</v>
      </c>
    </row>
    <row r="13" spans="1:19" x14ac:dyDescent="0.25">
      <c r="A13" t="s">
        <v>21</v>
      </c>
      <c r="B13">
        <v>31</v>
      </c>
      <c r="P13" s="99">
        <v>10</v>
      </c>
    </row>
    <row r="14" spans="1:19" x14ac:dyDescent="0.25">
      <c r="P14" s="99">
        <v>11</v>
      </c>
    </row>
    <row r="15" spans="1:19" x14ac:dyDescent="0.25">
      <c r="P15" s="99">
        <v>12</v>
      </c>
    </row>
    <row r="16" spans="1:19" x14ac:dyDescent="0.25">
      <c r="P16" s="99">
        <v>13</v>
      </c>
    </row>
    <row r="17" spans="1:18" x14ac:dyDescent="0.25">
      <c r="A17" s="131" t="s">
        <v>379</v>
      </c>
      <c r="B17" s="131"/>
      <c r="C17" s="131"/>
      <c r="P17" s="99">
        <v>14</v>
      </c>
    </row>
    <row r="18" spans="1:18" x14ac:dyDescent="0.25">
      <c r="A18" s="55" t="s">
        <v>380</v>
      </c>
      <c r="B18" s="55" t="s">
        <v>381</v>
      </c>
      <c r="C18" s="55" t="s">
        <v>62</v>
      </c>
      <c r="P18" s="99">
        <v>15</v>
      </c>
    </row>
    <row r="19" spans="1:18" x14ac:dyDescent="0.25">
      <c r="A19" s="35">
        <v>1</v>
      </c>
      <c r="B19" s="35">
        <v>1</v>
      </c>
      <c r="C19" s="35">
        <v>6</v>
      </c>
      <c r="P19" s="99">
        <v>16</v>
      </c>
    </row>
    <row r="20" spans="1:18" x14ac:dyDescent="0.25">
      <c r="A20" s="35">
        <v>2</v>
      </c>
      <c r="B20" s="35">
        <v>2</v>
      </c>
      <c r="C20" s="35">
        <v>8</v>
      </c>
      <c r="P20" s="99">
        <v>17</v>
      </c>
    </row>
    <row r="21" spans="1:18" x14ac:dyDescent="0.25">
      <c r="A21" s="35">
        <v>3</v>
      </c>
      <c r="B21" s="35">
        <v>3</v>
      </c>
      <c r="C21" s="35">
        <v>10</v>
      </c>
      <c r="P21" s="99">
        <v>18</v>
      </c>
    </row>
    <row r="22" spans="1:18" x14ac:dyDescent="0.25">
      <c r="A22" s="35">
        <v>4</v>
      </c>
      <c r="B22" s="35">
        <v>4</v>
      </c>
      <c r="C22" s="35">
        <v>12</v>
      </c>
      <c r="P22" s="99">
        <v>19</v>
      </c>
    </row>
    <row r="23" spans="1:18" x14ac:dyDescent="0.25">
      <c r="A23" s="35">
        <v>5</v>
      </c>
      <c r="B23" s="35">
        <v>9</v>
      </c>
      <c r="C23" s="35">
        <v>14</v>
      </c>
      <c r="P23" s="99">
        <v>20</v>
      </c>
    </row>
    <row r="24" spans="1:18" x14ac:dyDescent="0.25">
      <c r="A24" s="35">
        <v>10</v>
      </c>
      <c r="B24" s="35">
        <v>14</v>
      </c>
      <c r="C24" s="35">
        <v>16</v>
      </c>
    </row>
    <row r="25" spans="1:18" x14ac:dyDescent="0.25">
      <c r="A25" s="35">
        <v>15</v>
      </c>
      <c r="B25" s="35">
        <v>19</v>
      </c>
      <c r="C25" s="35">
        <v>18</v>
      </c>
    </row>
    <row r="26" spans="1:18" x14ac:dyDescent="0.25">
      <c r="P26" t="s">
        <v>508</v>
      </c>
    </row>
    <row r="28" spans="1:18" x14ac:dyDescent="0.25">
      <c r="A28" t="s">
        <v>465</v>
      </c>
      <c r="B28" s="8">
        <v>43845</v>
      </c>
      <c r="P28">
        <v>1</v>
      </c>
      <c r="Q28" t="s">
        <v>509</v>
      </c>
      <c r="R28" t="s">
        <v>510</v>
      </c>
    </row>
    <row r="29" spans="1:18" x14ac:dyDescent="0.25">
      <c r="A29" t="s">
        <v>466</v>
      </c>
      <c r="B29" s="8">
        <v>43861</v>
      </c>
      <c r="P29">
        <v>2</v>
      </c>
      <c r="Q29" t="s">
        <v>511</v>
      </c>
      <c r="R29" t="s">
        <v>512</v>
      </c>
    </row>
    <row r="30" spans="1:18" x14ac:dyDescent="0.25">
      <c r="A30" t="s">
        <v>467</v>
      </c>
      <c r="B30" s="8">
        <v>43876</v>
      </c>
      <c r="P30">
        <v>3</v>
      </c>
      <c r="Q30" t="s">
        <v>513</v>
      </c>
      <c r="R30" t="s">
        <v>514</v>
      </c>
    </row>
    <row r="31" spans="1:18" x14ac:dyDescent="0.25">
      <c r="A31" t="s">
        <v>468</v>
      </c>
      <c r="B31" s="8">
        <v>43890</v>
      </c>
      <c r="P31">
        <v>4</v>
      </c>
      <c r="Q31" t="s">
        <v>515</v>
      </c>
      <c r="R31" t="s">
        <v>516</v>
      </c>
    </row>
    <row r="32" spans="1:18" x14ac:dyDescent="0.25">
      <c r="A32" t="s">
        <v>469</v>
      </c>
      <c r="B32" s="8">
        <v>43905</v>
      </c>
      <c r="P32">
        <v>5</v>
      </c>
      <c r="Q32" t="s">
        <v>517</v>
      </c>
      <c r="R32" t="s">
        <v>518</v>
      </c>
    </row>
    <row r="33" spans="1:18" x14ac:dyDescent="0.25">
      <c r="A33" t="s">
        <v>470</v>
      </c>
      <c r="B33" s="8">
        <v>43921</v>
      </c>
      <c r="P33">
        <v>6</v>
      </c>
      <c r="Q33" t="s">
        <v>519</v>
      </c>
      <c r="R33" t="s">
        <v>520</v>
      </c>
    </row>
    <row r="34" spans="1:18" x14ac:dyDescent="0.25">
      <c r="A34" t="s">
        <v>471</v>
      </c>
      <c r="B34" s="8">
        <v>43936</v>
      </c>
      <c r="P34">
        <v>7</v>
      </c>
      <c r="Q34" t="s">
        <v>521</v>
      </c>
      <c r="R34" t="s">
        <v>522</v>
      </c>
    </row>
    <row r="35" spans="1:18" x14ac:dyDescent="0.25">
      <c r="A35" t="s">
        <v>472</v>
      </c>
      <c r="B35" s="8">
        <v>43951</v>
      </c>
      <c r="P35">
        <v>8</v>
      </c>
      <c r="Q35" t="s">
        <v>523</v>
      </c>
      <c r="R35" t="s">
        <v>524</v>
      </c>
    </row>
    <row r="36" spans="1:18" x14ac:dyDescent="0.25">
      <c r="A36" t="s">
        <v>473</v>
      </c>
      <c r="B36" s="8">
        <v>43966</v>
      </c>
      <c r="P36">
        <v>9</v>
      </c>
      <c r="Q36" t="s">
        <v>525</v>
      </c>
      <c r="R36" t="s">
        <v>524</v>
      </c>
    </row>
    <row r="37" spans="1:18" x14ac:dyDescent="0.25">
      <c r="A37" t="s">
        <v>474</v>
      </c>
      <c r="B37" s="8">
        <v>43982</v>
      </c>
      <c r="P37">
        <v>10</v>
      </c>
      <c r="Q37" t="s">
        <v>526</v>
      </c>
      <c r="R37" t="s">
        <v>527</v>
      </c>
    </row>
    <row r="38" spans="1:18" x14ac:dyDescent="0.25">
      <c r="A38" t="s">
        <v>475</v>
      </c>
      <c r="B38" s="8">
        <v>43997</v>
      </c>
      <c r="P38">
        <v>11</v>
      </c>
      <c r="Q38" t="s">
        <v>528</v>
      </c>
      <c r="R38" t="s">
        <v>529</v>
      </c>
    </row>
    <row r="39" spans="1:18" x14ac:dyDescent="0.25">
      <c r="A39" t="s">
        <v>476</v>
      </c>
      <c r="B39" s="8">
        <v>44012</v>
      </c>
      <c r="P39">
        <v>12</v>
      </c>
      <c r="Q39" t="s">
        <v>530</v>
      </c>
      <c r="R39" t="s">
        <v>531</v>
      </c>
    </row>
    <row r="40" spans="1:18" x14ac:dyDescent="0.25">
      <c r="A40" t="s">
        <v>477</v>
      </c>
      <c r="B40" s="8">
        <v>44027</v>
      </c>
      <c r="P40">
        <v>13</v>
      </c>
      <c r="Q40" t="s">
        <v>532</v>
      </c>
      <c r="R40" t="s">
        <v>533</v>
      </c>
    </row>
    <row r="41" spans="1:18" x14ac:dyDescent="0.25">
      <c r="A41" t="s">
        <v>478</v>
      </c>
      <c r="B41" s="8">
        <v>44043</v>
      </c>
      <c r="P41">
        <v>14</v>
      </c>
      <c r="Q41" t="s">
        <v>534</v>
      </c>
      <c r="R41" t="s">
        <v>535</v>
      </c>
    </row>
    <row r="42" spans="1:18" x14ac:dyDescent="0.25">
      <c r="A42" t="s">
        <v>479</v>
      </c>
      <c r="B42" s="8">
        <v>44058</v>
      </c>
      <c r="P42">
        <v>15</v>
      </c>
      <c r="Q42" t="s">
        <v>536</v>
      </c>
      <c r="R42" t="s">
        <v>537</v>
      </c>
    </row>
    <row r="43" spans="1:18" x14ac:dyDescent="0.25">
      <c r="A43" t="s">
        <v>480</v>
      </c>
      <c r="B43" s="8">
        <v>44074</v>
      </c>
      <c r="P43">
        <v>16</v>
      </c>
      <c r="Q43" t="s">
        <v>538</v>
      </c>
      <c r="R43" t="s">
        <v>539</v>
      </c>
    </row>
    <row r="44" spans="1:18" x14ac:dyDescent="0.25">
      <c r="A44" t="s">
        <v>481</v>
      </c>
      <c r="B44" s="8">
        <v>44089</v>
      </c>
    </row>
    <row r="45" spans="1:18" x14ac:dyDescent="0.25">
      <c r="A45" t="s">
        <v>482</v>
      </c>
      <c r="B45" s="8">
        <v>44104</v>
      </c>
    </row>
    <row r="46" spans="1:18" x14ac:dyDescent="0.25">
      <c r="A46" t="s">
        <v>483</v>
      </c>
      <c r="B46" s="8">
        <v>44119</v>
      </c>
    </row>
    <row r="47" spans="1:18" x14ac:dyDescent="0.25">
      <c r="A47" t="s">
        <v>484</v>
      </c>
      <c r="B47" s="8">
        <v>44135</v>
      </c>
    </row>
    <row r="48" spans="1:18" x14ac:dyDescent="0.25">
      <c r="A48" t="s">
        <v>485</v>
      </c>
      <c r="B48" s="8">
        <v>44150</v>
      </c>
    </row>
    <row r="49" spans="1:2" x14ac:dyDescent="0.25">
      <c r="A49" t="s">
        <v>486</v>
      </c>
      <c r="B49" s="8">
        <v>44165</v>
      </c>
    </row>
    <row r="50" spans="1:2" x14ac:dyDescent="0.25">
      <c r="A50" t="s">
        <v>487</v>
      </c>
      <c r="B50" s="8">
        <v>44180</v>
      </c>
    </row>
    <row r="51" spans="1:2" x14ac:dyDescent="0.25">
      <c r="A51" t="s">
        <v>488</v>
      </c>
      <c r="B51" s="8">
        <v>44196</v>
      </c>
    </row>
    <row r="52" spans="1:2" x14ac:dyDescent="0.25">
      <c r="A52" t="s">
        <v>378</v>
      </c>
      <c r="B52" s="93">
        <v>44184</v>
      </c>
    </row>
  </sheetData>
  <mergeCells count="1">
    <mergeCell ref="A17:C17"/>
  </mergeCells>
  <hyperlinks>
    <hyperlink ref="G12" r:id="rId1" display="https://contadorcontado.com/wp-content/uploads/2015/10/Tipo-de-riesgo-de-trabajo.jpg" xr:uid="{00000000-0004-0000-0300-000000000000}"/>
  </hyperlinks>
  <pageMargins left="0.7" right="0.7" top="0.75" bottom="0.75" header="0.3" footer="0.3"/>
  <pageSetup orientation="portrait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AA77"/>
  <sheetViews>
    <sheetView topLeftCell="P54" workbookViewId="0">
      <selection activeCell="C1" sqref="C1"/>
    </sheetView>
  </sheetViews>
  <sheetFormatPr baseColWidth="10" defaultRowHeight="15" x14ac:dyDescent="0.25"/>
  <cols>
    <col min="1" max="1" width="12.5703125" bestFit="1" customWidth="1"/>
    <col min="12" max="12" width="12.85546875" customWidth="1"/>
    <col min="13" max="13" width="16" customWidth="1"/>
    <col min="19" max="19" width="11.85546875" bestFit="1" customWidth="1"/>
    <col min="21" max="21" width="14.7109375" customWidth="1"/>
    <col min="22" max="22" width="15.85546875" customWidth="1"/>
  </cols>
  <sheetData>
    <row r="1" spans="1:24" x14ac:dyDescent="0.25">
      <c r="A1" t="s">
        <v>52</v>
      </c>
      <c r="B1" t="s">
        <v>21</v>
      </c>
      <c r="C1">
        <f>VLOOKUP(B1,TABLAS!$A$2:$B$13,2,0)</f>
        <v>31</v>
      </c>
      <c r="E1" t="s">
        <v>66</v>
      </c>
      <c r="F1">
        <v>102.68</v>
      </c>
      <c r="G1" t="s">
        <v>68</v>
      </c>
      <c r="H1" t="s">
        <v>69</v>
      </c>
      <c r="J1" t="s">
        <v>350</v>
      </c>
      <c r="O1" t="s">
        <v>376</v>
      </c>
    </row>
    <row r="2" spans="1:24" x14ac:dyDescent="0.25">
      <c r="A2" t="s">
        <v>64</v>
      </c>
      <c r="B2">
        <v>86.88</v>
      </c>
      <c r="F2">
        <v>176.72</v>
      </c>
      <c r="G2" t="s">
        <v>67</v>
      </c>
      <c r="K2" t="s">
        <v>357</v>
      </c>
      <c r="L2">
        <f>VLOOKUP(K2,TABLAS!$G$4:$H$8,2,4)</f>
        <v>1.1306499999999999</v>
      </c>
      <c r="O2" s="40"/>
    </row>
    <row r="3" spans="1:24" x14ac:dyDescent="0.25">
      <c r="A3" t="s">
        <v>65</v>
      </c>
      <c r="B3" s="36">
        <f>ROUND(B2*3,2)</f>
        <v>260.64</v>
      </c>
    </row>
    <row r="4" spans="1:24" x14ac:dyDescent="0.25">
      <c r="L4" s="132" t="s">
        <v>11</v>
      </c>
      <c r="M4" s="133"/>
      <c r="N4" s="133"/>
      <c r="O4" s="133"/>
      <c r="P4" s="133"/>
      <c r="Q4" s="133"/>
      <c r="R4" s="134"/>
    </row>
    <row r="5" spans="1:24" ht="31.5" x14ac:dyDescent="0.25">
      <c r="L5" s="45" t="s">
        <v>343</v>
      </c>
      <c r="M5" s="136" t="s">
        <v>344</v>
      </c>
      <c r="N5" s="136"/>
      <c r="O5" s="135" t="s">
        <v>346</v>
      </c>
      <c r="P5" s="136"/>
      <c r="Q5" s="135" t="s">
        <v>347</v>
      </c>
      <c r="R5" s="136"/>
      <c r="S5" s="135" t="s">
        <v>348</v>
      </c>
      <c r="T5" s="136"/>
      <c r="U5" s="46" t="s">
        <v>349</v>
      </c>
      <c r="V5" s="46" t="s">
        <v>361</v>
      </c>
      <c r="W5" s="137" t="s">
        <v>12</v>
      </c>
      <c r="X5" s="137"/>
    </row>
    <row r="6" spans="1:24" ht="21" x14ac:dyDescent="0.25">
      <c r="A6" s="37" t="s">
        <v>70</v>
      </c>
      <c r="B6" s="37" t="s">
        <v>71</v>
      </c>
      <c r="C6" s="37" t="s">
        <v>72</v>
      </c>
      <c r="D6" s="37" t="s">
        <v>0</v>
      </c>
      <c r="E6" s="37" t="s">
        <v>1</v>
      </c>
      <c r="F6" s="37" t="s">
        <v>73</v>
      </c>
      <c r="G6" s="37" t="s">
        <v>339</v>
      </c>
      <c r="H6" s="38" t="s">
        <v>62</v>
      </c>
      <c r="I6" s="38" t="s">
        <v>340</v>
      </c>
      <c r="J6" s="38" t="s">
        <v>341</v>
      </c>
      <c r="K6" s="44" t="s">
        <v>342</v>
      </c>
      <c r="L6" s="51">
        <v>0.20399999999999999</v>
      </c>
      <c r="M6" s="51">
        <v>1.0999999999999999E-2</v>
      </c>
      <c r="N6" s="51">
        <v>4.0000000000000001E-3</v>
      </c>
      <c r="O6" s="51">
        <v>7.0000000000000001E-3</v>
      </c>
      <c r="P6" s="51">
        <v>2.5000000000000001E-3</v>
      </c>
      <c r="Q6" s="52">
        <v>1.0500000000000001E-2</v>
      </c>
      <c r="R6" s="52">
        <v>3.7499999999999999E-3</v>
      </c>
      <c r="S6" s="52">
        <v>1.7500000000000002E-2</v>
      </c>
      <c r="T6" s="52">
        <v>6.2500000000000003E-3</v>
      </c>
      <c r="U6" s="52">
        <f>L2/100</f>
        <v>1.1306499999999999E-2</v>
      </c>
      <c r="V6" s="52">
        <v>0.01</v>
      </c>
      <c r="W6" s="137"/>
      <c r="X6" s="137"/>
    </row>
    <row r="7" spans="1:2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3" t="s">
        <v>13</v>
      </c>
      <c r="M7" s="43" t="s">
        <v>13</v>
      </c>
      <c r="N7" s="43" t="s">
        <v>345</v>
      </c>
      <c r="O7" s="43" t="s">
        <v>13</v>
      </c>
      <c r="P7" s="43" t="s">
        <v>345</v>
      </c>
      <c r="Q7" s="43" t="s">
        <v>13</v>
      </c>
      <c r="R7" s="43" t="s">
        <v>345</v>
      </c>
      <c r="S7" s="43" t="s">
        <v>13</v>
      </c>
      <c r="T7" s="43" t="s">
        <v>345</v>
      </c>
      <c r="U7" s="43" t="s">
        <v>13</v>
      </c>
      <c r="V7" s="43" t="s">
        <v>13</v>
      </c>
      <c r="W7" s="43" t="s">
        <v>13</v>
      </c>
      <c r="X7" s="43" t="s">
        <v>345</v>
      </c>
    </row>
    <row r="8" spans="1:24" x14ac:dyDescent="0.25">
      <c r="A8" t="s">
        <v>74</v>
      </c>
      <c r="B8" t="s">
        <v>75</v>
      </c>
      <c r="C8" t="s">
        <v>76</v>
      </c>
      <c r="D8" t="s">
        <v>77</v>
      </c>
      <c r="E8" t="s">
        <v>78</v>
      </c>
      <c r="F8" s="8">
        <v>43466</v>
      </c>
      <c r="G8">
        <v>507</v>
      </c>
      <c r="H8">
        <f>$C$1</f>
        <v>31</v>
      </c>
      <c r="K8">
        <f>H8-I8-J8</f>
        <v>31</v>
      </c>
      <c r="L8" s="39">
        <f>ROUND(($B$2*L$6)*(H8-J8),2)</f>
        <v>549.42999999999995</v>
      </c>
      <c r="M8" s="41">
        <f t="shared" ref="M8:M60" si="0">IF(G8&gt;$B$3,((G8-$B$3)*M$6)*(H8-J8),0)</f>
        <v>84.008760000000009</v>
      </c>
      <c r="N8" s="41">
        <f>IF(G8&gt;$B$3,((G8-$B$3)*N$6)*(H8-J8),0)</f>
        <v>30.548640000000002</v>
      </c>
      <c r="O8">
        <f>ROUND((G8*O$6)*(H8-J8),2)</f>
        <v>110.02</v>
      </c>
      <c r="P8">
        <f>ROUND((G8*P$6)*(H8-J8),2)</f>
        <v>39.29</v>
      </c>
      <c r="Q8">
        <f>ROUND((G8*Q$6)*(H8-J8),2)</f>
        <v>165.03</v>
      </c>
      <c r="R8">
        <f>ROUND((G8*R$6)*(H8-J8),2)</f>
        <v>58.94</v>
      </c>
      <c r="S8">
        <f>ROUND((G8*S$6)*(H8-I8-J8),2)</f>
        <v>275.05</v>
      </c>
      <c r="T8">
        <f>ROUND((G8*T$6)*(H8-I8-J8),2)</f>
        <v>98.23</v>
      </c>
      <c r="U8" s="39">
        <f>ROUND((G8*U$6)*K8,2)</f>
        <v>177.7</v>
      </c>
      <c r="V8">
        <f>ROUND((G8*V$6)*K8,2)</f>
        <v>157.16999999999999</v>
      </c>
      <c r="W8" s="39">
        <f>SUMIF($L$7:$V$7,W$7,L8:V8)</f>
        <v>1518.40876</v>
      </c>
      <c r="X8" s="41">
        <f>SUMIF($L$7:$V$7,X$7,L8:V8)</f>
        <v>227.00864000000001</v>
      </c>
    </row>
    <row r="9" spans="1:24" x14ac:dyDescent="0.25">
      <c r="A9" t="s">
        <v>79</v>
      </c>
      <c r="B9" t="s">
        <v>80</v>
      </c>
      <c r="C9" t="s">
        <v>81</v>
      </c>
      <c r="D9" t="s">
        <v>82</v>
      </c>
      <c r="E9" t="s">
        <v>83</v>
      </c>
      <c r="F9" s="8">
        <v>43466</v>
      </c>
      <c r="G9">
        <v>328.53</v>
      </c>
      <c r="H9">
        <f t="shared" ref="H9:H60" si="1">$C$1</f>
        <v>31</v>
      </c>
      <c r="K9">
        <f t="shared" ref="K9:K62" si="2">H9-I9-J9</f>
        <v>31</v>
      </c>
      <c r="L9" s="39">
        <f t="shared" ref="L9:L60" si="3">ROUND(($B$2*L$6)*(H9-J9),2)</f>
        <v>549.42999999999995</v>
      </c>
      <c r="M9" s="41">
        <f t="shared" si="0"/>
        <v>23.150489999999994</v>
      </c>
      <c r="N9" s="41">
        <f t="shared" ref="N9:N60" si="4">IF(G9&gt;$B$3,((G9-$B$3)*N$6)*(H9-J9),0)</f>
        <v>8.4183599999999998</v>
      </c>
      <c r="O9">
        <f t="shared" ref="O9:O60" si="5">ROUND((G9*O$6)*(H9-J9),2)</f>
        <v>71.290000000000006</v>
      </c>
      <c r="P9">
        <f t="shared" ref="P9:P60" si="6">ROUND((G9*P$6)*(H9-J9),2)</f>
        <v>25.46</v>
      </c>
      <c r="Q9">
        <f t="shared" ref="Q9:Q60" si="7">ROUND((G9*Q$6)*(H9-J9),2)</f>
        <v>106.94</v>
      </c>
      <c r="R9">
        <f t="shared" ref="R9:R60" si="8">ROUND((G9*R$6)*(H9-J9),2)</f>
        <v>38.19</v>
      </c>
      <c r="S9">
        <f t="shared" ref="S9:S60" si="9">ROUND((G9*S$6)*(H9-I9-J9),2)</f>
        <v>178.23</v>
      </c>
      <c r="T9">
        <f t="shared" ref="T9:T60" si="10">ROUND((G9*T$6)*(H9-I9-J9),2)</f>
        <v>63.65</v>
      </c>
      <c r="U9" s="39">
        <f t="shared" ref="U9:U60" si="11">ROUND((G9*U$6)*K9,2)</f>
        <v>115.15</v>
      </c>
      <c r="V9">
        <f t="shared" ref="V9:V60" si="12">ROUND((G9*V$6)*K9,2)</f>
        <v>101.84</v>
      </c>
      <c r="W9" s="39">
        <f t="shared" ref="W9:W60" si="13">SUMIF($L$7:$V$7,W$7,L9:V9)</f>
        <v>1146.0304899999999</v>
      </c>
      <c r="X9" s="41">
        <f t="shared" ref="X9:X60" si="14">SUMIF($L$7:$V$7,X$7,L9:V9)</f>
        <v>135.71835999999999</v>
      </c>
    </row>
    <row r="10" spans="1:24" x14ac:dyDescent="0.25">
      <c r="A10" t="s">
        <v>84</v>
      </c>
      <c r="B10" t="s">
        <v>85</v>
      </c>
      <c r="C10" t="s">
        <v>86</v>
      </c>
      <c r="D10" t="s">
        <v>87</v>
      </c>
      <c r="E10" t="s">
        <v>88</v>
      </c>
      <c r="F10" s="8">
        <v>43466</v>
      </c>
      <c r="G10">
        <v>273.89999999999998</v>
      </c>
      <c r="H10">
        <f t="shared" si="1"/>
        <v>31</v>
      </c>
      <c r="K10">
        <f t="shared" si="2"/>
        <v>31</v>
      </c>
      <c r="L10" s="39">
        <f t="shared" si="3"/>
        <v>549.42999999999995</v>
      </c>
      <c r="M10" s="41">
        <f t="shared" si="0"/>
        <v>4.5216599999999962</v>
      </c>
      <c r="N10" s="41">
        <f t="shared" si="4"/>
        <v>1.6442399999999988</v>
      </c>
      <c r="O10">
        <f t="shared" si="5"/>
        <v>59.44</v>
      </c>
      <c r="P10">
        <f t="shared" si="6"/>
        <v>21.23</v>
      </c>
      <c r="Q10">
        <f t="shared" si="7"/>
        <v>89.15</v>
      </c>
      <c r="R10">
        <f t="shared" si="8"/>
        <v>31.84</v>
      </c>
      <c r="S10">
        <f t="shared" si="9"/>
        <v>148.59</v>
      </c>
      <c r="T10">
        <f t="shared" si="10"/>
        <v>53.07</v>
      </c>
      <c r="U10" s="39">
        <f t="shared" si="11"/>
        <v>96</v>
      </c>
      <c r="V10">
        <f t="shared" si="12"/>
        <v>84.91</v>
      </c>
      <c r="W10" s="39">
        <f t="shared" si="13"/>
        <v>1032.0416600000001</v>
      </c>
      <c r="X10" s="41">
        <f t="shared" si="14"/>
        <v>107.78424000000001</v>
      </c>
    </row>
    <row r="11" spans="1:24" x14ac:dyDescent="0.25">
      <c r="A11" t="s">
        <v>89</v>
      </c>
      <c r="B11" t="s">
        <v>90</v>
      </c>
      <c r="C11" t="s">
        <v>91</v>
      </c>
      <c r="D11" t="s">
        <v>92</v>
      </c>
      <c r="E11" t="s">
        <v>93</v>
      </c>
      <c r="F11" s="8">
        <v>43466</v>
      </c>
      <c r="G11">
        <v>382.07</v>
      </c>
      <c r="H11">
        <f t="shared" si="1"/>
        <v>31</v>
      </c>
      <c r="K11">
        <f t="shared" si="2"/>
        <v>31</v>
      </c>
      <c r="L11" s="39">
        <f t="shared" si="3"/>
        <v>549.42999999999995</v>
      </c>
      <c r="M11" s="41">
        <f t="shared" si="0"/>
        <v>41.407630000000005</v>
      </c>
      <c r="N11" s="41">
        <f t="shared" si="4"/>
        <v>15.057320000000001</v>
      </c>
      <c r="O11">
        <f t="shared" si="5"/>
        <v>82.91</v>
      </c>
      <c r="P11">
        <f t="shared" si="6"/>
        <v>29.61</v>
      </c>
      <c r="Q11">
        <f t="shared" si="7"/>
        <v>124.36</v>
      </c>
      <c r="R11">
        <f t="shared" si="8"/>
        <v>44.42</v>
      </c>
      <c r="S11">
        <f t="shared" si="9"/>
        <v>207.27</v>
      </c>
      <c r="T11">
        <f t="shared" si="10"/>
        <v>74.03</v>
      </c>
      <c r="U11" s="39">
        <f t="shared" si="11"/>
        <v>133.91999999999999</v>
      </c>
      <c r="V11">
        <f t="shared" si="12"/>
        <v>118.44</v>
      </c>
      <c r="W11" s="39">
        <f t="shared" si="13"/>
        <v>1257.7376300000001</v>
      </c>
      <c r="X11" s="41">
        <f t="shared" si="14"/>
        <v>163.11732000000001</v>
      </c>
    </row>
    <row r="12" spans="1:24" x14ac:dyDescent="0.25">
      <c r="A12" t="s">
        <v>94</v>
      </c>
      <c r="B12" t="s">
        <v>95</v>
      </c>
      <c r="C12" t="s">
        <v>96</v>
      </c>
      <c r="D12" t="s">
        <v>97</v>
      </c>
      <c r="E12" t="s">
        <v>98</v>
      </c>
      <c r="F12" s="8">
        <v>43466</v>
      </c>
      <c r="G12">
        <v>317.89999999999998</v>
      </c>
      <c r="H12">
        <f t="shared" si="1"/>
        <v>31</v>
      </c>
      <c r="K12">
        <f t="shared" si="2"/>
        <v>31</v>
      </c>
      <c r="L12" s="39">
        <f t="shared" si="3"/>
        <v>549.42999999999995</v>
      </c>
      <c r="M12" s="41">
        <f t="shared" si="0"/>
        <v>19.525659999999995</v>
      </c>
      <c r="N12" s="41">
        <f t="shared" si="4"/>
        <v>7.1002399999999986</v>
      </c>
      <c r="O12">
        <f t="shared" si="5"/>
        <v>68.98</v>
      </c>
      <c r="P12">
        <f t="shared" si="6"/>
        <v>24.64</v>
      </c>
      <c r="Q12">
        <f t="shared" si="7"/>
        <v>103.48</v>
      </c>
      <c r="R12">
        <f t="shared" si="8"/>
        <v>36.96</v>
      </c>
      <c r="S12">
        <f t="shared" si="9"/>
        <v>172.46</v>
      </c>
      <c r="T12">
        <f t="shared" si="10"/>
        <v>61.59</v>
      </c>
      <c r="U12" s="39">
        <f t="shared" si="11"/>
        <v>111.42</v>
      </c>
      <c r="V12">
        <f t="shared" si="12"/>
        <v>98.55</v>
      </c>
      <c r="W12" s="39">
        <f t="shared" si="13"/>
        <v>1123.84566</v>
      </c>
      <c r="X12" s="41">
        <f t="shared" si="14"/>
        <v>130.29024000000001</v>
      </c>
    </row>
    <row r="13" spans="1:24" x14ac:dyDescent="0.25">
      <c r="A13" t="s">
        <v>99</v>
      </c>
      <c r="B13" t="s">
        <v>100</v>
      </c>
      <c r="C13" t="s">
        <v>101</v>
      </c>
      <c r="D13" t="s">
        <v>102</v>
      </c>
      <c r="E13" t="s">
        <v>103</v>
      </c>
      <c r="F13" s="8">
        <v>43466</v>
      </c>
      <c r="G13">
        <v>382.07</v>
      </c>
      <c r="H13">
        <f t="shared" si="1"/>
        <v>31</v>
      </c>
      <c r="K13">
        <f t="shared" si="2"/>
        <v>31</v>
      </c>
      <c r="L13" s="39">
        <f t="shared" si="3"/>
        <v>549.42999999999995</v>
      </c>
      <c r="M13" s="41">
        <f t="shared" si="0"/>
        <v>41.407630000000005</v>
      </c>
      <c r="N13" s="41">
        <f t="shared" si="4"/>
        <v>15.057320000000001</v>
      </c>
      <c r="O13">
        <f t="shared" si="5"/>
        <v>82.91</v>
      </c>
      <c r="P13">
        <f t="shared" si="6"/>
        <v>29.61</v>
      </c>
      <c r="Q13">
        <f t="shared" si="7"/>
        <v>124.36</v>
      </c>
      <c r="R13">
        <f t="shared" si="8"/>
        <v>44.42</v>
      </c>
      <c r="S13">
        <f t="shared" si="9"/>
        <v>207.27</v>
      </c>
      <c r="T13">
        <f t="shared" si="10"/>
        <v>74.03</v>
      </c>
      <c r="U13" s="39">
        <f t="shared" si="11"/>
        <v>133.91999999999999</v>
      </c>
      <c r="V13">
        <f t="shared" si="12"/>
        <v>118.44</v>
      </c>
      <c r="W13" s="39">
        <f t="shared" si="13"/>
        <v>1257.7376300000001</v>
      </c>
      <c r="X13" s="41">
        <f t="shared" si="14"/>
        <v>163.11732000000001</v>
      </c>
    </row>
    <row r="14" spans="1:24" x14ac:dyDescent="0.25">
      <c r="A14" t="s">
        <v>104</v>
      </c>
      <c r="B14" t="s">
        <v>105</v>
      </c>
      <c r="C14" t="s">
        <v>106</v>
      </c>
      <c r="D14" t="s">
        <v>107</v>
      </c>
      <c r="E14" t="s">
        <v>108</v>
      </c>
      <c r="F14" s="8">
        <v>43466</v>
      </c>
      <c r="G14">
        <v>215.24</v>
      </c>
      <c r="H14">
        <f t="shared" si="1"/>
        <v>31</v>
      </c>
      <c r="K14">
        <f t="shared" si="2"/>
        <v>31</v>
      </c>
      <c r="L14" s="39">
        <f t="shared" si="3"/>
        <v>549.42999999999995</v>
      </c>
      <c r="M14" s="41">
        <f t="shared" si="0"/>
        <v>0</v>
      </c>
      <c r="N14" s="41">
        <f t="shared" si="4"/>
        <v>0</v>
      </c>
      <c r="O14">
        <f t="shared" si="5"/>
        <v>46.71</v>
      </c>
      <c r="P14">
        <f t="shared" si="6"/>
        <v>16.68</v>
      </c>
      <c r="Q14">
        <f t="shared" si="7"/>
        <v>70.06</v>
      </c>
      <c r="R14">
        <f t="shared" si="8"/>
        <v>25.02</v>
      </c>
      <c r="S14">
        <f t="shared" si="9"/>
        <v>116.77</v>
      </c>
      <c r="T14">
        <f t="shared" si="10"/>
        <v>41.7</v>
      </c>
      <c r="U14" s="39">
        <f t="shared" si="11"/>
        <v>75.44</v>
      </c>
      <c r="V14">
        <f t="shared" si="12"/>
        <v>66.72</v>
      </c>
      <c r="W14" s="39">
        <f t="shared" si="13"/>
        <v>925.13000000000011</v>
      </c>
      <c r="X14" s="41">
        <f t="shared" si="14"/>
        <v>83.4</v>
      </c>
    </row>
    <row r="15" spans="1:24" x14ac:dyDescent="0.25">
      <c r="A15" t="s">
        <v>109</v>
      </c>
      <c r="B15" t="s">
        <v>110</v>
      </c>
      <c r="C15" t="s">
        <v>111</v>
      </c>
      <c r="D15" t="s">
        <v>112</v>
      </c>
      <c r="E15" t="s">
        <v>113</v>
      </c>
      <c r="F15" s="8">
        <v>43466</v>
      </c>
      <c r="G15">
        <v>137</v>
      </c>
      <c r="H15">
        <f t="shared" si="1"/>
        <v>31</v>
      </c>
      <c r="K15">
        <f t="shared" si="2"/>
        <v>31</v>
      </c>
      <c r="L15" s="39">
        <f t="shared" si="3"/>
        <v>549.42999999999995</v>
      </c>
      <c r="M15" s="41">
        <f t="shared" si="0"/>
        <v>0</v>
      </c>
      <c r="N15" s="41">
        <f t="shared" si="4"/>
        <v>0</v>
      </c>
      <c r="O15">
        <f t="shared" si="5"/>
        <v>29.73</v>
      </c>
      <c r="P15">
        <f t="shared" si="6"/>
        <v>10.62</v>
      </c>
      <c r="Q15">
        <f t="shared" si="7"/>
        <v>44.59</v>
      </c>
      <c r="R15">
        <f t="shared" si="8"/>
        <v>15.93</v>
      </c>
      <c r="S15">
        <f t="shared" si="9"/>
        <v>74.319999999999993</v>
      </c>
      <c r="T15">
        <f t="shared" si="10"/>
        <v>26.54</v>
      </c>
      <c r="U15" s="39">
        <f t="shared" si="11"/>
        <v>48.02</v>
      </c>
      <c r="V15">
        <f t="shared" si="12"/>
        <v>42.47</v>
      </c>
      <c r="W15" s="39">
        <f t="shared" si="13"/>
        <v>788.56</v>
      </c>
      <c r="X15" s="41">
        <f t="shared" si="14"/>
        <v>53.089999999999996</v>
      </c>
    </row>
    <row r="16" spans="1:24" x14ac:dyDescent="0.25">
      <c r="A16" t="s">
        <v>114</v>
      </c>
      <c r="B16" t="s">
        <v>115</v>
      </c>
      <c r="C16" t="s">
        <v>116</v>
      </c>
      <c r="D16" t="s">
        <v>117</v>
      </c>
      <c r="E16" t="s">
        <v>118</v>
      </c>
      <c r="F16" s="8">
        <v>43466</v>
      </c>
      <c r="G16">
        <v>215.24</v>
      </c>
      <c r="H16">
        <f t="shared" si="1"/>
        <v>31</v>
      </c>
      <c r="K16">
        <f t="shared" si="2"/>
        <v>31</v>
      </c>
      <c r="L16" s="39">
        <f t="shared" si="3"/>
        <v>549.42999999999995</v>
      </c>
      <c r="M16" s="41">
        <f t="shared" si="0"/>
        <v>0</v>
      </c>
      <c r="N16" s="41">
        <f t="shared" si="4"/>
        <v>0</v>
      </c>
      <c r="O16">
        <f t="shared" si="5"/>
        <v>46.71</v>
      </c>
      <c r="P16">
        <f t="shared" si="6"/>
        <v>16.68</v>
      </c>
      <c r="Q16">
        <f t="shared" si="7"/>
        <v>70.06</v>
      </c>
      <c r="R16">
        <f t="shared" si="8"/>
        <v>25.02</v>
      </c>
      <c r="S16">
        <f t="shared" si="9"/>
        <v>116.77</v>
      </c>
      <c r="T16">
        <f t="shared" si="10"/>
        <v>41.7</v>
      </c>
      <c r="U16" s="39">
        <f t="shared" si="11"/>
        <v>75.44</v>
      </c>
      <c r="V16">
        <f t="shared" si="12"/>
        <v>66.72</v>
      </c>
      <c r="W16" s="39">
        <f t="shared" si="13"/>
        <v>925.13000000000011</v>
      </c>
      <c r="X16" s="41">
        <f t="shared" si="14"/>
        <v>83.4</v>
      </c>
    </row>
    <row r="17" spans="1:27" x14ac:dyDescent="0.25">
      <c r="A17" t="s">
        <v>119</v>
      </c>
      <c r="B17" t="s">
        <v>120</v>
      </c>
      <c r="C17" t="s">
        <v>121</v>
      </c>
      <c r="D17" t="s">
        <v>122</v>
      </c>
      <c r="E17" t="s">
        <v>123</v>
      </c>
      <c r="F17" s="8">
        <v>43466</v>
      </c>
      <c r="G17">
        <v>123.5</v>
      </c>
      <c r="H17">
        <f t="shared" si="1"/>
        <v>31</v>
      </c>
      <c r="K17">
        <f t="shared" si="2"/>
        <v>31</v>
      </c>
      <c r="L17" s="39">
        <f t="shared" si="3"/>
        <v>549.42999999999995</v>
      </c>
      <c r="M17" s="41">
        <f t="shared" si="0"/>
        <v>0</v>
      </c>
      <c r="N17" s="41">
        <f t="shared" si="4"/>
        <v>0</v>
      </c>
      <c r="O17">
        <f t="shared" si="5"/>
        <v>26.8</v>
      </c>
      <c r="P17">
        <f t="shared" si="6"/>
        <v>9.57</v>
      </c>
      <c r="Q17">
        <f t="shared" si="7"/>
        <v>40.200000000000003</v>
      </c>
      <c r="R17">
        <f t="shared" si="8"/>
        <v>14.36</v>
      </c>
      <c r="S17">
        <f t="shared" si="9"/>
        <v>67</v>
      </c>
      <c r="T17">
        <f t="shared" si="10"/>
        <v>23.93</v>
      </c>
      <c r="U17" s="39">
        <f t="shared" si="11"/>
        <v>43.29</v>
      </c>
      <c r="V17">
        <f t="shared" si="12"/>
        <v>38.29</v>
      </c>
      <c r="W17" s="39">
        <f t="shared" si="13"/>
        <v>765.00999999999988</v>
      </c>
      <c r="X17" s="41">
        <f t="shared" si="14"/>
        <v>47.86</v>
      </c>
    </row>
    <row r="18" spans="1:27" x14ac:dyDescent="0.25">
      <c r="A18" t="s">
        <v>124</v>
      </c>
      <c r="B18" t="s">
        <v>125</v>
      </c>
      <c r="C18" t="s">
        <v>126</v>
      </c>
      <c r="D18" t="s">
        <v>127</v>
      </c>
      <c r="E18" t="s">
        <v>128</v>
      </c>
      <c r="F18" s="8">
        <v>43466</v>
      </c>
      <c r="G18">
        <v>123.5</v>
      </c>
      <c r="H18">
        <f t="shared" si="1"/>
        <v>31</v>
      </c>
      <c r="K18">
        <f t="shared" si="2"/>
        <v>31</v>
      </c>
      <c r="L18" s="39">
        <f t="shared" si="3"/>
        <v>549.42999999999995</v>
      </c>
      <c r="M18" s="41">
        <f t="shared" si="0"/>
        <v>0</v>
      </c>
      <c r="N18" s="41">
        <f t="shared" si="4"/>
        <v>0</v>
      </c>
      <c r="O18">
        <f t="shared" si="5"/>
        <v>26.8</v>
      </c>
      <c r="P18">
        <f t="shared" si="6"/>
        <v>9.57</v>
      </c>
      <c r="Q18">
        <f t="shared" si="7"/>
        <v>40.200000000000003</v>
      </c>
      <c r="R18">
        <f t="shared" si="8"/>
        <v>14.36</v>
      </c>
      <c r="S18">
        <f t="shared" si="9"/>
        <v>67</v>
      </c>
      <c r="T18">
        <f t="shared" si="10"/>
        <v>23.93</v>
      </c>
      <c r="U18" s="39">
        <f t="shared" si="11"/>
        <v>43.29</v>
      </c>
      <c r="V18">
        <f t="shared" si="12"/>
        <v>38.29</v>
      </c>
      <c r="W18" s="39">
        <f t="shared" si="13"/>
        <v>765.00999999999988</v>
      </c>
      <c r="X18" s="41">
        <f t="shared" si="14"/>
        <v>47.86</v>
      </c>
    </row>
    <row r="19" spans="1:27" x14ac:dyDescent="0.25">
      <c r="A19" t="s">
        <v>129</v>
      </c>
      <c r="B19" t="s">
        <v>130</v>
      </c>
      <c r="C19" t="s">
        <v>131</v>
      </c>
      <c r="D19" t="s">
        <v>132</v>
      </c>
      <c r="E19" t="s">
        <v>133</v>
      </c>
      <c r="F19" s="8">
        <v>43466</v>
      </c>
      <c r="G19">
        <v>123.5</v>
      </c>
      <c r="H19">
        <f t="shared" si="1"/>
        <v>31</v>
      </c>
      <c r="K19">
        <f t="shared" si="2"/>
        <v>31</v>
      </c>
      <c r="L19" s="39">
        <f t="shared" si="3"/>
        <v>549.42999999999995</v>
      </c>
      <c r="M19" s="41">
        <f t="shared" si="0"/>
        <v>0</v>
      </c>
      <c r="N19" s="41">
        <f t="shared" si="4"/>
        <v>0</v>
      </c>
      <c r="O19">
        <f t="shared" si="5"/>
        <v>26.8</v>
      </c>
      <c r="P19">
        <f t="shared" si="6"/>
        <v>9.57</v>
      </c>
      <c r="Q19">
        <f t="shared" si="7"/>
        <v>40.200000000000003</v>
      </c>
      <c r="R19">
        <f t="shared" si="8"/>
        <v>14.36</v>
      </c>
      <c r="S19">
        <f t="shared" si="9"/>
        <v>67</v>
      </c>
      <c r="T19">
        <f t="shared" si="10"/>
        <v>23.93</v>
      </c>
      <c r="U19" s="39">
        <f t="shared" si="11"/>
        <v>43.29</v>
      </c>
      <c r="V19">
        <f t="shared" si="12"/>
        <v>38.29</v>
      </c>
      <c r="W19" s="39">
        <f t="shared" si="13"/>
        <v>765.00999999999988</v>
      </c>
      <c r="X19" s="41">
        <f t="shared" si="14"/>
        <v>47.86</v>
      </c>
    </row>
    <row r="20" spans="1:27" s="36" customFormat="1" x14ac:dyDescent="0.25">
      <c r="A20" s="36" t="s">
        <v>134</v>
      </c>
      <c r="B20" s="36" t="s">
        <v>135</v>
      </c>
      <c r="C20" s="36" t="s">
        <v>136</v>
      </c>
      <c r="D20" s="36" t="s">
        <v>137</v>
      </c>
      <c r="E20" s="36" t="s">
        <v>138</v>
      </c>
      <c r="F20" s="88">
        <v>43734</v>
      </c>
      <c r="G20" s="36">
        <v>105.41</v>
      </c>
      <c r="H20" s="36">
        <f t="shared" si="1"/>
        <v>31</v>
      </c>
      <c r="K20" s="36">
        <f t="shared" si="2"/>
        <v>31</v>
      </c>
      <c r="L20" s="89">
        <f t="shared" si="3"/>
        <v>549.42999999999995</v>
      </c>
      <c r="M20" s="90">
        <f t="shared" si="0"/>
        <v>0</v>
      </c>
      <c r="N20" s="90">
        <f t="shared" si="4"/>
        <v>0</v>
      </c>
      <c r="O20" s="36">
        <f t="shared" si="5"/>
        <v>22.87</v>
      </c>
      <c r="P20" s="36">
        <f t="shared" si="6"/>
        <v>8.17</v>
      </c>
      <c r="Q20" s="36">
        <f t="shared" si="7"/>
        <v>34.31</v>
      </c>
      <c r="R20" s="36">
        <f t="shared" si="8"/>
        <v>12.25</v>
      </c>
      <c r="S20" s="36">
        <f t="shared" si="9"/>
        <v>57.18</v>
      </c>
      <c r="T20" s="36">
        <f t="shared" si="10"/>
        <v>20.420000000000002</v>
      </c>
      <c r="U20" s="89">
        <f t="shared" si="11"/>
        <v>36.950000000000003</v>
      </c>
      <c r="V20" s="36">
        <f t="shared" si="12"/>
        <v>32.68</v>
      </c>
      <c r="W20" s="89">
        <f t="shared" si="13"/>
        <v>733.41999999999985</v>
      </c>
      <c r="X20" s="90">
        <f t="shared" si="14"/>
        <v>40.840000000000003</v>
      </c>
      <c r="Z20" s="91">
        <f>W19-W20</f>
        <v>31.590000000000032</v>
      </c>
      <c r="AA20" s="91">
        <f>X19-X20</f>
        <v>7.019999999999996</v>
      </c>
    </row>
    <row r="21" spans="1:27" x14ac:dyDescent="0.25">
      <c r="A21" t="s">
        <v>139</v>
      </c>
      <c r="B21" t="s">
        <v>140</v>
      </c>
      <c r="C21" t="s">
        <v>141</v>
      </c>
      <c r="D21" t="s">
        <v>142</v>
      </c>
      <c r="E21" t="s">
        <v>143</v>
      </c>
      <c r="F21" s="8">
        <v>43466</v>
      </c>
      <c r="G21">
        <v>123.5</v>
      </c>
      <c r="H21">
        <f t="shared" si="1"/>
        <v>31</v>
      </c>
      <c r="K21">
        <f t="shared" si="2"/>
        <v>31</v>
      </c>
      <c r="L21" s="39">
        <f t="shared" si="3"/>
        <v>549.42999999999995</v>
      </c>
      <c r="M21" s="41">
        <f t="shared" si="0"/>
        <v>0</v>
      </c>
      <c r="N21" s="41">
        <f t="shared" si="4"/>
        <v>0</v>
      </c>
      <c r="O21">
        <f t="shared" si="5"/>
        <v>26.8</v>
      </c>
      <c r="P21">
        <f t="shared" si="6"/>
        <v>9.57</v>
      </c>
      <c r="Q21">
        <f t="shared" si="7"/>
        <v>40.200000000000003</v>
      </c>
      <c r="R21">
        <f t="shared" si="8"/>
        <v>14.36</v>
      </c>
      <c r="S21">
        <f t="shared" si="9"/>
        <v>67</v>
      </c>
      <c r="T21">
        <f t="shared" si="10"/>
        <v>23.93</v>
      </c>
      <c r="U21" s="39">
        <f t="shared" si="11"/>
        <v>43.29</v>
      </c>
      <c r="V21">
        <f t="shared" si="12"/>
        <v>38.29</v>
      </c>
      <c r="W21" s="39">
        <f t="shared" si="13"/>
        <v>765.00999999999988</v>
      </c>
      <c r="X21" s="41">
        <f t="shared" si="14"/>
        <v>47.86</v>
      </c>
    </row>
    <row r="22" spans="1:27" x14ac:dyDescent="0.25">
      <c r="A22" t="s">
        <v>144</v>
      </c>
      <c r="B22" t="s">
        <v>145</v>
      </c>
      <c r="C22" t="s">
        <v>146</v>
      </c>
      <c r="D22" t="s">
        <v>147</v>
      </c>
      <c r="E22" t="s">
        <v>148</v>
      </c>
      <c r="F22" s="8">
        <v>43466</v>
      </c>
      <c r="G22">
        <v>123.5</v>
      </c>
      <c r="H22">
        <f t="shared" si="1"/>
        <v>31</v>
      </c>
      <c r="K22">
        <f t="shared" si="2"/>
        <v>31</v>
      </c>
      <c r="L22" s="39">
        <f t="shared" si="3"/>
        <v>549.42999999999995</v>
      </c>
      <c r="M22" s="41">
        <f t="shared" si="0"/>
        <v>0</v>
      </c>
      <c r="N22" s="41">
        <f t="shared" si="4"/>
        <v>0</v>
      </c>
      <c r="O22">
        <f t="shared" si="5"/>
        <v>26.8</v>
      </c>
      <c r="P22">
        <f t="shared" si="6"/>
        <v>9.57</v>
      </c>
      <c r="Q22">
        <f t="shared" si="7"/>
        <v>40.200000000000003</v>
      </c>
      <c r="R22">
        <f t="shared" si="8"/>
        <v>14.36</v>
      </c>
      <c r="S22">
        <f t="shared" si="9"/>
        <v>67</v>
      </c>
      <c r="T22">
        <f t="shared" si="10"/>
        <v>23.93</v>
      </c>
      <c r="U22" s="39">
        <f t="shared" si="11"/>
        <v>43.29</v>
      </c>
      <c r="V22">
        <f t="shared" si="12"/>
        <v>38.29</v>
      </c>
      <c r="W22" s="39">
        <f t="shared" si="13"/>
        <v>765.00999999999988</v>
      </c>
      <c r="X22" s="41">
        <f t="shared" si="14"/>
        <v>47.86</v>
      </c>
      <c r="Z22" s="3">
        <f>Z20*12</f>
        <v>379.08000000000038</v>
      </c>
      <c r="AA22" s="3">
        <f>AA20*12</f>
        <v>84.239999999999952</v>
      </c>
    </row>
    <row r="23" spans="1:27" x14ac:dyDescent="0.25">
      <c r="A23" t="s">
        <v>149</v>
      </c>
      <c r="B23" t="s">
        <v>150</v>
      </c>
      <c r="C23" t="s">
        <v>151</v>
      </c>
      <c r="D23" t="s">
        <v>152</v>
      </c>
      <c r="E23" t="s">
        <v>153</v>
      </c>
      <c r="F23" s="8">
        <v>43466</v>
      </c>
      <c r="G23">
        <v>123.5</v>
      </c>
      <c r="H23">
        <f t="shared" si="1"/>
        <v>31</v>
      </c>
      <c r="K23">
        <f t="shared" si="2"/>
        <v>31</v>
      </c>
      <c r="L23" s="39">
        <f t="shared" si="3"/>
        <v>549.42999999999995</v>
      </c>
      <c r="M23" s="41">
        <f t="shared" si="0"/>
        <v>0</v>
      </c>
      <c r="N23" s="41">
        <f t="shared" si="4"/>
        <v>0</v>
      </c>
      <c r="O23">
        <f t="shared" si="5"/>
        <v>26.8</v>
      </c>
      <c r="P23">
        <f t="shared" si="6"/>
        <v>9.57</v>
      </c>
      <c r="Q23">
        <f t="shared" si="7"/>
        <v>40.200000000000003</v>
      </c>
      <c r="R23">
        <f t="shared" si="8"/>
        <v>14.36</v>
      </c>
      <c r="S23">
        <f t="shared" si="9"/>
        <v>67</v>
      </c>
      <c r="T23">
        <f t="shared" si="10"/>
        <v>23.93</v>
      </c>
      <c r="U23" s="39">
        <f t="shared" si="11"/>
        <v>43.29</v>
      </c>
      <c r="V23">
        <f t="shared" si="12"/>
        <v>38.29</v>
      </c>
      <c r="W23" s="39">
        <f t="shared" si="13"/>
        <v>765.00999999999988</v>
      </c>
      <c r="X23" s="41">
        <f t="shared" si="14"/>
        <v>47.86</v>
      </c>
    </row>
    <row r="24" spans="1:27" x14ac:dyDescent="0.25">
      <c r="A24" t="s">
        <v>154</v>
      </c>
      <c r="B24" t="s">
        <v>155</v>
      </c>
      <c r="C24" t="s">
        <v>156</v>
      </c>
      <c r="D24" t="s">
        <v>157</v>
      </c>
      <c r="E24" t="s">
        <v>158</v>
      </c>
      <c r="F24" s="8">
        <v>43466</v>
      </c>
      <c r="G24">
        <v>123.5</v>
      </c>
      <c r="H24">
        <f t="shared" si="1"/>
        <v>31</v>
      </c>
      <c r="K24">
        <f t="shared" si="2"/>
        <v>31</v>
      </c>
      <c r="L24" s="39">
        <f t="shared" si="3"/>
        <v>549.42999999999995</v>
      </c>
      <c r="M24" s="41">
        <f t="shared" si="0"/>
        <v>0</v>
      </c>
      <c r="N24" s="41">
        <f t="shared" si="4"/>
        <v>0</v>
      </c>
      <c r="O24">
        <f t="shared" si="5"/>
        <v>26.8</v>
      </c>
      <c r="P24">
        <f t="shared" si="6"/>
        <v>9.57</v>
      </c>
      <c r="Q24">
        <f t="shared" si="7"/>
        <v>40.200000000000003</v>
      </c>
      <c r="R24">
        <f t="shared" si="8"/>
        <v>14.36</v>
      </c>
      <c r="S24">
        <f t="shared" si="9"/>
        <v>67</v>
      </c>
      <c r="T24">
        <f t="shared" si="10"/>
        <v>23.93</v>
      </c>
      <c r="U24" s="39">
        <f t="shared" si="11"/>
        <v>43.29</v>
      </c>
      <c r="V24">
        <f t="shared" si="12"/>
        <v>38.29</v>
      </c>
      <c r="W24" s="39">
        <f t="shared" si="13"/>
        <v>765.00999999999988</v>
      </c>
      <c r="X24" s="41">
        <f t="shared" si="14"/>
        <v>47.86</v>
      </c>
    </row>
    <row r="25" spans="1:27" x14ac:dyDescent="0.25">
      <c r="A25" t="s">
        <v>159</v>
      </c>
      <c r="B25" t="s">
        <v>160</v>
      </c>
      <c r="C25" t="s">
        <v>161</v>
      </c>
      <c r="D25" t="s">
        <v>162</v>
      </c>
      <c r="E25" t="s">
        <v>163</v>
      </c>
      <c r="F25" s="8">
        <v>43466</v>
      </c>
      <c r="G25">
        <v>196.38</v>
      </c>
      <c r="H25">
        <f t="shared" si="1"/>
        <v>31</v>
      </c>
      <c r="K25">
        <f t="shared" si="2"/>
        <v>31</v>
      </c>
      <c r="L25" s="39">
        <f t="shared" si="3"/>
        <v>549.42999999999995</v>
      </c>
      <c r="M25" s="41">
        <f t="shared" si="0"/>
        <v>0</v>
      </c>
      <c r="N25" s="41">
        <f t="shared" si="4"/>
        <v>0</v>
      </c>
      <c r="O25">
        <f t="shared" si="5"/>
        <v>42.61</v>
      </c>
      <c r="P25">
        <f t="shared" si="6"/>
        <v>15.22</v>
      </c>
      <c r="Q25">
        <f t="shared" si="7"/>
        <v>63.92</v>
      </c>
      <c r="R25">
        <f t="shared" si="8"/>
        <v>22.83</v>
      </c>
      <c r="S25">
        <f t="shared" si="9"/>
        <v>106.54</v>
      </c>
      <c r="T25">
        <f t="shared" si="10"/>
        <v>38.049999999999997</v>
      </c>
      <c r="U25" s="39">
        <f t="shared" si="11"/>
        <v>68.83</v>
      </c>
      <c r="V25">
        <f t="shared" si="12"/>
        <v>60.88</v>
      </c>
      <c r="W25" s="39">
        <f t="shared" si="13"/>
        <v>892.20999999999992</v>
      </c>
      <c r="X25" s="41">
        <f t="shared" si="14"/>
        <v>76.099999999999994</v>
      </c>
    </row>
    <row r="26" spans="1:27" x14ac:dyDescent="0.25">
      <c r="A26" t="s">
        <v>164</v>
      </c>
      <c r="B26" t="s">
        <v>165</v>
      </c>
      <c r="C26" t="s">
        <v>166</v>
      </c>
      <c r="D26" t="s">
        <v>167</v>
      </c>
      <c r="E26" t="s">
        <v>168</v>
      </c>
      <c r="F26" s="8">
        <v>43466</v>
      </c>
      <c r="G26">
        <v>123.5</v>
      </c>
      <c r="H26">
        <f t="shared" si="1"/>
        <v>31</v>
      </c>
      <c r="K26">
        <f t="shared" si="2"/>
        <v>31</v>
      </c>
      <c r="L26" s="39">
        <f t="shared" si="3"/>
        <v>549.42999999999995</v>
      </c>
      <c r="M26" s="41">
        <f t="shared" si="0"/>
        <v>0</v>
      </c>
      <c r="N26" s="41">
        <f t="shared" si="4"/>
        <v>0</v>
      </c>
      <c r="O26">
        <f t="shared" si="5"/>
        <v>26.8</v>
      </c>
      <c r="P26">
        <f t="shared" si="6"/>
        <v>9.57</v>
      </c>
      <c r="Q26">
        <f t="shared" si="7"/>
        <v>40.200000000000003</v>
      </c>
      <c r="R26">
        <f t="shared" si="8"/>
        <v>14.36</v>
      </c>
      <c r="S26">
        <f t="shared" si="9"/>
        <v>67</v>
      </c>
      <c r="T26">
        <f t="shared" si="10"/>
        <v>23.93</v>
      </c>
      <c r="U26" s="39">
        <f t="shared" si="11"/>
        <v>43.29</v>
      </c>
      <c r="V26">
        <f t="shared" si="12"/>
        <v>38.29</v>
      </c>
      <c r="W26" s="39">
        <f t="shared" si="13"/>
        <v>765.00999999999988</v>
      </c>
      <c r="X26" s="41">
        <f t="shared" si="14"/>
        <v>47.86</v>
      </c>
    </row>
    <row r="27" spans="1:27" x14ac:dyDescent="0.25">
      <c r="A27" t="s">
        <v>169</v>
      </c>
      <c r="B27" t="s">
        <v>170</v>
      </c>
      <c r="C27" t="s">
        <v>171</v>
      </c>
      <c r="D27" t="s">
        <v>172</v>
      </c>
      <c r="E27" t="s">
        <v>173</v>
      </c>
      <c r="F27" s="8">
        <v>43466</v>
      </c>
      <c r="G27">
        <v>123.5</v>
      </c>
      <c r="H27">
        <f t="shared" si="1"/>
        <v>31</v>
      </c>
      <c r="K27">
        <f t="shared" si="2"/>
        <v>31</v>
      </c>
      <c r="L27" s="39">
        <f t="shared" si="3"/>
        <v>549.42999999999995</v>
      </c>
      <c r="M27" s="41">
        <f t="shared" si="0"/>
        <v>0</v>
      </c>
      <c r="N27" s="41">
        <f t="shared" si="4"/>
        <v>0</v>
      </c>
      <c r="O27">
        <f t="shared" si="5"/>
        <v>26.8</v>
      </c>
      <c r="P27">
        <f t="shared" si="6"/>
        <v>9.57</v>
      </c>
      <c r="Q27">
        <f t="shared" si="7"/>
        <v>40.200000000000003</v>
      </c>
      <c r="R27">
        <f t="shared" si="8"/>
        <v>14.36</v>
      </c>
      <c r="S27">
        <f t="shared" si="9"/>
        <v>67</v>
      </c>
      <c r="T27">
        <f t="shared" si="10"/>
        <v>23.93</v>
      </c>
      <c r="U27" s="39">
        <f t="shared" si="11"/>
        <v>43.29</v>
      </c>
      <c r="V27">
        <f t="shared" si="12"/>
        <v>38.29</v>
      </c>
      <c r="W27" s="39">
        <f t="shared" si="13"/>
        <v>765.00999999999988</v>
      </c>
      <c r="X27" s="41">
        <f t="shared" si="14"/>
        <v>47.86</v>
      </c>
    </row>
    <row r="28" spans="1:27" x14ac:dyDescent="0.25">
      <c r="A28" t="s">
        <v>174</v>
      </c>
      <c r="B28" t="s">
        <v>175</v>
      </c>
      <c r="C28" t="s">
        <v>176</v>
      </c>
      <c r="D28" t="s">
        <v>177</v>
      </c>
      <c r="E28" t="s">
        <v>178</v>
      </c>
      <c r="F28" s="8">
        <v>43466</v>
      </c>
      <c r="G28">
        <v>123.5</v>
      </c>
      <c r="H28">
        <f t="shared" si="1"/>
        <v>31</v>
      </c>
      <c r="K28">
        <f t="shared" si="2"/>
        <v>31</v>
      </c>
      <c r="L28" s="39">
        <f t="shared" si="3"/>
        <v>549.42999999999995</v>
      </c>
      <c r="M28" s="41">
        <f t="shared" si="0"/>
        <v>0</v>
      </c>
      <c r="N28" s="41">
        <f t="shared" si="4"/>
        <v>0</v>
      </c>
      <c r="O28">
        <f t="shared" si="5"/>
        <v>26.8</v>
      </c>
      <c r="P28">
        <f t="shared" si="6"/>
        <v>9.57</v>
      </c>
      <c r="Q28">
        <f t="shared" si="7"/>
        <v>40.200000000000003</v>
      </c>
      <c r="R28">
        <f t="shared" si="8"/>
        <v>14.36</v>
      </c>
      <c r="S28">
        <f t="shared" si="9"/>
        <v>67</v>
      </c>
      <c r="T28">
        <f t="shared" si="10"/>
        <v>23.93</v>
      </c>
      <c r="U28" s="39">
        <f t="shared" si="11"/>
        <v>43.29</v>
      </c>
      <c r="V28">
        <f t="shared" si="12"/>
        <v>38.29</v>
      </c>
      <c r="W28" s="39">
        <f t="shared" si="13"/>
        <v>765.00999999999988</v>
      </c>
      <c r="X28" s="41">
        <f t="shared" si="14"/>
        <v>47.86</v>
      </c>
    </row>
    <row r="29" spans="1:27" x14ac:dyDescent="0.25">
      <c r="A29" t="s">
        <v>179</v>
      </c>
      <c r="B29" t="s">
        <v>180</v>
      </c>
      <c r="C29" t="s">
        <v>181</v>
      </c>
      <c r="D29" t="s">
        <v>182</v>
      </c>
      <c r="E29" t="s">
        <v>183</v>
      </c>
      <c r="F29" s="8">
        <v>43466</v>
      </c>
      <c r="G29">
        <v>123.5</v>
      </c>
      <c r="H29">
        <f t="shared" si="1"/>
        <v>31</v>
      </c>
      <c r="K29">
        <f t="shared" si="2"/>
        <v>31</v>
      </c>
      <c r="L29" s="39">
        <f t="shared" si="3"/>
        <v>549.42999999999995</v>
      </c>
      <c r="M29" s="41">
        <f t="shared" si="0"/>
        <v>0</v>
      </c>
      <c r="N29" s="41">
        <f t="shared" si="4"/>
        <v>0</v>
      </c>
      <c r="O29">
        <f t="shared" si="5"/>
        <v>26.8</v>
      </c>
      <c r="P29">
        <f t="shared" si="6"/>
        <v>9.57</v>
      </c>
      <c r="Q29">
        <f t="shared" si="7"/>
        <v>40.200000000000003</v>
      </c>
      <c r="R29">
        <f t="shared" si="8"/>
        <v>14.36</v>
      </c>
      <c r="S29">
        <f t="shared" si="9"/>
        <v>67</v>
      </c>
      <c r="T29">
        <f t="shared" si="10"/>
        <v>23.93</v>
      </c>
      <c r="U29" s="39">
        <f t="shared" si="11"/>
        <v>43.29</v>
      </c>
      <c r="V29">
        <f t="shared" si="12"/>
        <v>38.29</v>
      </c>
      <c r="W29" s="39">
        <f t="shared" si="13"/>
        <v>765.00999999999988</v>
      </c>
      <c r="X29" s="41">
        <f t="shared" si="14"/>
        <v>47.86</v>
      </c>
    </row>
    <row r="30" spans="1:27" x14ac:dyDescent="0.25">
      <c r="A30" t="s">
        <v>184</v>
      </c>
      <c r="B30" t="s">
        <v>185</v>
      </c>
      <c r="C30" t="s">
        <v>186</v>
      </c>
      <c r="D30" t="s">
        <v>187</v>
      </c>
      <c r="E30" t="s">
        <v>188</v>
      </c>
      <c r="F30" s="8">
        <v>43466</v>
      </c>
      <c r="G30">
        <v>123.5</v>
      </c>
      <c r="H30">
        <f t="shared" si="1"/>
        <v>31</v>
      </c>
      <c r="K30">
        <f t="shared" si="2"/>
        <v>31</v>
      </c>
      <c r="L30" s="39">
        <f t="shared" si="3"/>
        <v>549.42999999999995</v>
      </c>
      <c r="M30" s="41">
        <f t="shared" si="0"/>
        <v>0</v>
      </c>
      <c r="N30" s="41">
        <f t="shared" si="4"/>
        <v>0</v>
      </c>
      <c r="O30">
        <f t="shared" si="5"/>
        <v>26.8</v>
      </c>
      <c r="P30">
        <f t="shared" si="6"/>
        <v>9.57</v>
      </c>
      <c r="Q30">
        <f t="shared" si="7"/>
        <v>40.200000000000003</v>
      </c>
      <c r="R30">
        <f t="shared" si="8"/>
        <v>14.36</v>
      </c>
      <c r="S30">
        <f t="shared" si="9"/>
        <v>67</v>
      </c>
      <c r="T30">
        <f t="shared" si="10"/>
        <v>23.93</v>
      </c>
      <c r="U30" s="39">
        <f t="shared" si="11"/>
        <v>43.29</v>
      </c>
      <c r="V30">
        <f t="shared" si="12"/>
        <v>38.29</v>
      </c>
      <c r="W30" s="39">
        <f t="shared" si="13"/>
        <v>765.00999999999988</v>
      </c>
      <c r="X30" s="41">
        <f t="shared" si="14"/>
        <v>47.86</v>
      </c>
    </row>
    <row r="31" spans="1:27" x14ac:dyDescent="0.25">
      <c r="A31" t="s">
        <v>189</v>
      </c>
      <c r="B31" t="s">
        <v>190</v>
      </c>
      <c r="C31" t="s">
        <v>191</v>
      </c>
      <c r="D31" t="s">
        <v>192</v>
      </c>
      <c r="E31" t="s">
        <v>193</v>
      </c>
      <c r="F31" s="8">
        <v>43466</v>
      </c>
      <c r="G31">
        <v>123.5</v>
      </c>
      <c r="H31">
        <f t="shared" si="1"/>
        <v>31</v>
      </c>
      <c r="K31">
        <f t="shared" si="2"/>
        <v>31</v>
      </c>
      <c r="L31" s="39">
        <f t="shared" si="3"/>
        <v>549.42999999999995</v>
      </c>
      <c r="M31" s="41">
        <f t="shared" si="0"/>
        <v>0</v>
      </c>
      <c r="N31" s="41">
        <f t="shared" si="4"/>
        <v>0</v>
      </c>
      <c r="O31">
        <f t="shared" si="5"/>
        <v>26.8</v>
      </c>
      <c r="P31">
        <f t="shared" si="6"/>
        <v>9.57</v>
      </c>
      <c r="Q31">
        <f t="shared" si="7"/>
        <v>40.200000000000003</v>
      </c>
      <c r="R31">
        <f t="shared" si="8"/>
        <v>14.36</v>
      </c>
      <c r="S31">
        <f t="shared" si="9"/>
        <v>67</v>
      </c>
      <c r="T31">
        <f t="shared" si="10"/>
        <v>23.93</v>
      </c>
      <c r="U31" s="39">
        <f t="shared" si="11"/>
        <v>43.29</v>
      </c>
      <c r="V31">
        <f t="shared" si="12"/>
        <v>38.29</v>
      </c>
      <c r="W31" s="39">
        <f t="shared" si="13"/>
        <v>765.00999999999988</v>
      </c>
      <c r="X31" s="41">
        <f t="shared" si="14"/>
        <v>47.86</v>
      </c>
    </row>
    <row r="32" spans="1:27" x14ac:dyDescent="0.25">
      <c r="A32" t="s">
        <v>194</v>
      </c>
      <c r="B32" t="s">
        <v>195</v>
      </c>
      <c r="C32" t="s">
        <v>196</v>
      </c>
      <c r="D32" t="s">
        <v>197</v>
      </c>
      <c r="E32" t="s">
        <v>198</v>
      </c>
      <c r="F32" s="8">
        <v>43466</v>
      </c>
      <c r="G32">
        <v>123.5</v>
      </c>
      <c r="H32">
        <f t="shared" si="1"/>
        <v>31</v>
      </c>
      <c r="K32">
        <f t="shared" si="2"/>
        <v>31</v>
      </c>
      <c r="L32" s="39">
        <f t="shared" si="3"/>
        <v>549.42999999999995</v>
      </c>
      <c r="M32" s="41">
        <f t="shared" si="0"/>
        <v>0</v>
      </c>
      <c r="N32" s="41">
        <f t="shared" si="4"/>
        <v>0</v>
      </c>
      <c r="O32">
        <f t="shared" si="5"/>
        <v>26.8</v>
      </c>
      <c r="P32">
        <f t="shared" si="6"/>
        <v>9.57</v>
      </c>
      <c r="Q32">
        <f t="shared" si="7"/>
        <v>40.200000000000003</v>
      </c>
      <c r="R32">
        <f t="shared" si="8"/>
        <v>14.36</v>
      </c>
      <c r="S32">
        <f t="shared" si="9"/>
        <v>67</v>
      </c>
      <c r="T32">
        <f t="shared" si="10"/>
        <v>23.93</v>
      </c>
      <c r="U32" s="39">
        <f t="shared" si="11"/>
        <v>43.29</v>
      </c>
      <c r="V32">
        <f t="shared" si="12"/>
        <v>38.29</v>
      </c>
      <c r="W32" s="39">
        <f t="shared" si="13"/>
        <v>765.00999999999988</v>
      </c>
      <c r="X32" s="41">
        <f t="shared" si="14"/>
        <v>47.86</v>
      </c>
    </row>
    <row r="33" spans="1:24" x14ac:dyDescent="0.25">
      <c r="A33" t="s">
        <v>199</v>
      </c>
      <c r="B33" t="s">
        <v>200</v>
      </c>
      <c r="C33" t="s">
        <v>201</v>
      </c>
      <c r="D33" t="s">
        <v>202</v>
      </c>
      <c r="E33" t="s">
        <v>203</v>
      </c>
      <c r="F33" s="8">
        <v>43466</v>
      </c>
      <c r="G33">
        <v>123.5</v>
      </c>
      <c r="H33">
        <f t="shared" si="1"/>
        <v>31</v>
      </c>
      <c r="K33">
        <f t="shared" si="2"/>
        <v>31</v>
      </c>
      <c r="L33" s="39">
        <f t="shared" si="3"/>
        <v>549.42999999999995</v>
      </c>
      <c r="M33" s="41">
        <f t="shared" si="0"/>
        <v>0</v>
      </c>
      <c r="N33" s="41">
        <f t="shared" si="4"/>
        <v>0</v>
      </c>
      <c r="O33">
        <f t="shared" si="5"/>
        <v>26.8</v>
      </c>
      <c r="P33">
        <f t="shared" si="6"/>
        <v>9.57</v>
      </c>
      <c r="Q33">
        <f t="shared" si="7"/>
        <v>40.200000000000003</v>
      </c>
      <c r="R33">
        <f t="shared" si="8"/>
        <v>14.36</v>
      </c>
      <c r="S33">
        <f t="shared" si="9"/>
        <v>67</v>
      </c>
      <c r="T33">
        <f t="shared" si="10"/>
        <v>23.93</v>
      </c>
      <c r="U33" s="39">
        <f t="shared" si="11"/>
        <v>43.29</v>
      </c>
      <c r="V33">
        <f t="shared" si="12"/>
        <v>38.29</v>
      </c>
      <c r="W33" s="39">
        <f t="shared" si="13"/>
        <v>765.00999999999988</v>
      </c>
      <c r="X33" s="41">
        <f t="shared" si="14"/>
        <v>47.86</v>
      </c>
    </row>
    <row r="34" spans="1:24" x14ac:dyDescent="0.25">
      <c r="A34" t="s">
        <v>204</v>
      </c>
      <c r="B34" t="s">
        <v>205</v>
      </c>
      <c r="C34" t="s">
        <v>206</v>
      </c>
      <c r="D34" t="s">
        <v>207</v>
      </c>
      <c r="E34" t="s">
        <v>208</v>
      </c>
      <c r="F34" s="58">
        <v>43466</v>
      </c>
      <c r="G34">
        <v>123.5</v>
      </c>
      <c r="H34">
        <f t="shared" si="1"/>
        <v>31</v>
      </c>
      <c r="K34">
        <f t="shared" si="2"/>
        <v>31</v>
      </c>
      <c r="L34" s="39">
        <f t="shared" si="3"/>
        <v>549.42999999999995</v>
      </c>
      <c r="M34" s="41">
        <f t="shared" si="0"/>
        <v>0</v>
      </c>
      <c r="N34" s="41">
        <f t="shared" si="4"/>
        <v>0</v>
      </c>
      <c r="O34">
        <f t="shared" si="5"/>
        <v>26.8</v>
      </c>
      <c r="P34">
        <f t="shared" si="6"/>
        <v>9.57</v>
      </c>
      <c r="Q34">
        <f t="shared" si="7"/>
        <v>40.200000000000003</v>
      </c>
      <c r="R34">
        <f t="shared" si="8"/>
        <v>14.36</v>
      </c>
      <c r="S34">
        <f t="shared" si="9"/>
        <v>67</v>
      </c>
      <c r="T34">
        <f t="shared" si="10"/>
        <v>23.93</v>
      </c>
      <c r="U34" s="39">
        <f t="shared" si="11"/>
        <v>43.29</v>
      </c>
      <c r="V34">
        <f t="shared" si="12"/>
        <v>38.29</v>
      </c>
      <c r="W34" s="39">
        <f t="shared" si="13"/>
        <v>765.00999999999988</v>
      </c>
      <c r="X34" s="41">
        <f t="shared" si="14"/>
        <v>47.86</v>
      </c>
    </row>
    <row r="35" spans="1:24" x14ac:dyDescent="0.25">
      <c r="A35" t="s">
        <v>209</v>
      </c>
      <c r="B35" t="s">
        <v>210</v>
      </c>
      <c r="C35" t="s">
        <v>211</v>
      </c>
      <c r="D35" t="s">
        <v>212</v>
      </c>
      <c r="E35" t="s">
        <v>213</v>
      </c>
      <c r="F35" s="8">
        <v>43466</v>
      </c>
      <c r="G35">
        <v>123.5</v>
      </c>
      <c r="H35">
        <f t="shared" si="1"/>
        <v>31</v>
      </c>
      <c r="K35">
        <f t="shared" si="2"/>
        <v>31</v>
      </c>
      <c r="L35" s="39">
        <f t="shared" si="3"/>
        <v>549.42999999999995</v>
      </c>
      <c r="M35" s="41">
        <f t="shared" si="0"/>
        <v>0</v>
      </c>
      <c r="N35" s="41">
        <f t="shared" si="4"/>
        <v>0</v>
      </c>
      <c r="O35">
        <f t="shared" si="5"/>
        <v>26.8</v>
      </c>
      <c r="P35">
        <f t="shared" si="6"/>
        <v>9.57</v>
      </c>
      <c r="Q35">
        <f t="shared" si="7"/>
        <v>40.200000000000003</v>
      </c>
      <c r="R35">
        <f t="shared" si="8"/>
        <v>14.36</v>
      </c>
      <c r="S35">
        <f t="shared" si="9"/>
        <v>67</v>
      </c>
      <c r="T35">
        <f t="shared" si="10"/>
        <v>23.93</v>
      </c>
      <c r="U35" s="39">
        <f t="shared" si="11"/>
        <v>43.29</v>
      </c>
      <c r="V35">
        <f t="shared" si="12"/>
        <v>38.29</v>
      </c>
      <c r="W35" s="39">
        <f t="shared" si="13"/>
        <v>765.00999999999988</v>
      </c>
      <c r="X35" s="41">
        <f t="shared" si="14"/>
        <v>47.86</v>
      </c>
    </row>
    <row r="36" spans="1:24" x14ac:dyDescent="0.25">
      <c r="A36" t="s">
        <v>214</v>
      </c>
      <c r="B36" t="s">
        <v>215</v>
      </c>
      <c r="C36" t="s">
        <v>216</v>
      </c>
      <c r="D36" t="s">
        <v>217</v>
      </c>
      <c r="E36" t="s">
        <v>218</v>
      </c>
      <c r="F36" s="8">
        <v>43466</v>
      </c>
      <c r="G36">
        <v>123.5</v>
      </c>
      <c r="H36">
        <f t="shared" si="1"/>
        <v>31</v>
      </c>
      <c r="K36">
        <f t="shared" si="2"/>
        <v>31</v>
      </c>
      <c r="L36" s="39">
        <f t="shared" si="3"/>
        <v>549.42999999999995</v>
      </c>
      <c r="M36" s="41">
        <f t="shared" si="0"/>
        <v>0</v>
      </c>
      <c r="N36" s="41">
        <f t="shared" si="4"/>
        <v>0</v>
      </c>
      <c r="O36">
        <f t="shared" si="5"/>
        <v>26.8</v>
      </c>
      <c r="P36">
        <f t="shared" si="6"/>
        <v>9.57</v>
      </c>
      <c r="Q36">
        <f t="shared" si="7"/>
        <v>40.200000000000003</v>
      </c>
      <c r="R36">
        <f t="shared" si="8"/>
        <v>14.36</v>
      </c>
      <c r="S36">
        <f t="shared" si="9"/>
        <v>67</v>
      </c>
      <c r="T36">
        <f t="shared" si="10"/>
        <v>23.93</v>
      </c>
      <c r="U36" s="39">
        <f t="shared" si="11"/>
        <v>43.29</v>
      </c>
      <c r="V36">
        <f t="shared" si="12"/>
        <v>38.29</v>
      </c>
      <c r="W36" s="39">
        <f t="shared" si="13"/>
        <v>765.00999999999988</v>
      </c>
      <c r="X36" s="41">
        <f t="shared" si="14"/>
        <v>47.86</v>
      </c>
    </row>
    <row r="37" spans="1:24" x14ac:dyDescent="0.25">
      <c r="A37" t="s">
        <v>219</v>
      </c>
      <c r="B37" t="s">
        <v>220</v>
      </c>
      <c r="C37" t="s">
        <v>221</v>
      </c>
      <c r="D37" t="s">
        <v>222</v>
      </c>
      <c r="E37" t="s">
        <v>223</v>
      </c>
      <c r="F37" s="8">
        <v>43466</v>
      </c>
      <c r="G37">
        <v>123.5</v>
      </c>
      <c r="H37">
        <f t="shared" si="1"/>
        <v>31</v>
      </c>
      <c r="K37">
        <f t="shared" si="2"/>
        <v>31</v>
      </c>
      <c r="L37" s="39">
        <f t="shared" si="3"/>
        <v>549.42999999999995</v>
      </c>
      <c r="M37" s="41">
        <f t="shared" si="0"/>
        <v>0</v>
      </c>
      <c r="N37" s="41">
        <f t="shared" si="4"/>
        <v>0</v>
      </c>
      <c r="O37">
        <f t="shared" si="5"/>
        <v>26.8</v>
      </c>
      <c r="P37">
        <f t="shared" si="6"/>
        <v>9.57</v>
      </c>
      <c r="Q37">
        <f t="shared" si="7"/>
        <v>40.200000000000003</v>
      </c>
      <c r="R37">
        <f t="shared" si="8"/>
        <v>14.36</v>
      </c>
      <c r="S37">
        <f t="shared" si="9"/>
        <v>67</v>
      </c>
      <c r="T37">
        <f t="shared" si="10"/>
        <v>23.93</v>
      </c>
      <c r="U37" s="39">
        <f t="shared" si="11"/>
        <v>43.29</v>
      </c>
      <c r="V37">
        <f t="shared" si="12"/>
        <v>38.29</v>
      </c>
      <c r="W37" s="39">
        <f t="shared" si="13"/>
        <v>765.00999999999988</v>
      </c>
      <c r="X37" s="41">
        <f t="shared" si="14"/>
        <v>47.86</v>
      </c>
    </row>
    <row r="38" spans="1:24" x14ac:dyDescent="0.25">
      <c r="A38" t="s">
        <v>224</v>
      </c>
      <c r="B38" t="s">
        <v>225</v>
      </c>
      <c r="C38" t="s">
        <v>226</v>
      </c>
      <c r="D38" t="s">
        <v>227</v>
      </c>
      <c r="E38" t="s">
        <v>228</v>
      </c>
      <c r="F38" s="8">
        <v>43466</v>
      </c>
      <c r="G38">
        <v>123.5</v>
      </c>
      <c r="H38">
        <f t="shared" si="1"/>
        <v>31</v>
      </c>
      <c r="K38">
        <f t="shared" si="2"/>
        <v>31</v>
      </c>
      <c r="L38" s="39">
        <f t="shared" si="3"/>
        <v>549.42999999999995</v>
      </c>
      <c r="M38" s="41">
        <f t="shared" si="0"/>
        <v>0</v>
      </c>
      <c r="N38" s="41">
        <f t="shared" si="4"/>
        <v>0</v>
      </c>
      <c r="O38">
        <f t="shared" si="5"/>
        <v>26.8</v>
      </c>
      <c r="P38">
        <f t="shared" si="6"/>
        <v>9.57</v>
      </c>
      <c r="Q38">
        <f t="shared" si="7"/>
        <v>40.200000000000003</v>
      </c>
      <c r="R38">
        <f t="shared" si="8"/>
        <v>14.36</v>
      </c>
      <c r="S38">
        <f t="shared" si="9"/>
        <v>67</v>
      </c>
      <c r="T38">
        <f t="shared" si="10"/>
        <v>23.93</v>
      </c>
      <c r="U38" s="39">
        <f t="shared" si="11"/>
        <v>43.29</v>
      </c>
      <c r="V38">
        <f t="shared" si="12"/>
        <v>38.29</v>
      </c>
      <c r="W38" s="39">
        <f t="shared" si="13"/>
        <v>765.00999999999988</v>
      </c>
      <c r="X38" s="41">
        <f t="shared" si="14"/>
        <v>47.86</v>
      </c>
    </row>
    <row r="39" spans="1:24" x14ac:dyDescent="0.25">
      <c r="A39" t="s">
        <v>229</v>
      </c>
      <c r="B39" t="s">
        <v>230</v>
      </c>
      <c r="C39" t="s">
        <v>231</v>
      </c>
      <c r="D39" t="s">
        <v>232</v>
      </c>
      <c r="E39" t="s">
        <v>233</v>
      </c>
      <c r="F39" s="8">
        <v>43466</v>
      </c>
      <c r="G39">
        <v>123.5</v>
      </c>
      <c r="H39">
        <f t="shared" si="1"/>
        <v>31</v>
      </c>
      <c r="K39">
        <f t="shared" si="2"/>
        <v>31</v>
      </c>
      <c r="L39" s="39">
        <f t="shared" si="3"/>
        <v>549.42999999999995</v>
      </c>
      <c r="M39" s="41">
        <f t="shared" si="0"/>
        <v>0</v>
      </c>
      <c r="N39" s="41">
        <f t="shared" si="4"/>
        <v>0</v>
      </c>
      <c r="O39">
        <f t="shared" si="5"/>
        <v>26.8</v>
      </c>
      <c r="P39">
        <f t="shared" si="6"/>
        <v>9.57</v>
      </c>
      <c r="Q39">
        <f t="shared" si="7"/>
        <v>40.200000000000003</v>
      </c>
      <c r="R39">
        <f t="shared" si="8"/>
        <v>14.36</v>
      </c>
      <c r="S39">
        <f t="shared" si="9"/>
        <v>67</v>
      </c>
      <c r="T39">
        <f t="shared" si="10"/>
        <v>23.93</v>
      </c>
      <c r="U39" s="39">
        <f t="shared" si="11"/>
        <v>43.29</v>
      </c>
      <c r="V39">
        <f t="shared" si="12"/>
        <v>38.29</v>
      </c>
      <c r="W39" s="39">
        <f t="shared" si="13"/>
        <v>765.00999999999988</v>
      </c>
      <c r="X39" s="41">
        <f t="shared" si="14"/>
        <v>47.86</v>
      </c>
    </row>
    <row r="40" spans="1:24" x14ac:dyDescent="0.25">
      <c r="A40" t="s">
        <v>234</v>
      </c>
      <c r="B40" t="s">
        <v>235</v>
      </c>
      <c r="C40" t="s">
        <v>236</v>
      </c>
      <c r="D40" t="s">
        <v>237</v>
      </c>
      <c r="E40" t="s">
        <v>238</v>
      </c>
      <c r="F40" s="8">
        <v>43466</v>
      </c>
      <c r="G40">
        <v>123.5</v>
      </c>
      <c r="H40">
        <f t="shared" si="1"/>
        <v>31</v>
      </c>
      <c r="K40">
        <f t="shared" si="2"/>
        <v>31</v>
      </c>
      <c r="L40" s="39">
        <f t="shared" si="3"/>
        <v>549.42999999999995</v>
      </c>
      <c r="M40" s="41">
        <f t="shared" si="0"/>
        <v>0</v>
      </c>
      <c r="N40" s="41">
        <f t="shared" si="4"/>
        <v>0</v>
      </c>
      <c r="O40">
        <f t="shared" si="5"/>
        <v>26.8</v>
      </c>
      <c r="P40">
        <f t="shared" si="6"/>
        <v>9.57</v>
      </c>
      <c r="Q40">
        <f t="shared" si="7"/>
        <v>40.200000000000003</v>
      </c>
      <c r="R40">
        <f t="shared" si="8"/>
        <v>14.36</v>
      </c>
      <c r="S40">
        <f t="shared" si="9"/>
        <v>67</v>
      </c>
      <c r="T40">
        <f t="shared" si="10"/>
        <v>23.93</v>
      </c>
      <c r="U40" s="39">
        <f t="shared" si="11"/>
        <v>43.29</v>
      </c>
      <c r="V40">
        <f t="shared" si="12"/>
        <v>38.29</v>
      </c>
      <c r="W40" s="39">
        <f t="shared" si="13"/>
        <v>765.00999999999988</v>
      </c>
      <c r="X40" s="41">
        <f t="shared" si="14"/>
        <v>47.86</v>
      </c>
    </row>
    <row r="41" spans="1:24" x14ac:dyDescent="0.25">
      <c r="A41" t="s">
        <v>239</v>
      </c>
      <c r="B41" t="s">
        <v>240</v>
      </c>
      <c r="C41" t="s">
        <v>241</v>
      </c>
      <c r="D41" t="s">
        <v>242</v>
      </c>
      <c r="E41" t="s">
        <v>243</v>
      </c>
      <c r="F41" s="8">
        <v>43572</v>
      </c>
      <c r="G41">
        <v>123.5</v>
      </c>
      <c r="H41">
        <f t="shared" si="1"/>
        <v>31</v>
      </c>
      <c r="K41">
        <f t="shared" si="2"/>
        <v>31</v>
      </c>
      <c r="L41" s="39">
        <f t="shared" si="3"/>
        <v>549.42999999999995</v>
      </c>
      <c r="M41" s="41">
        <f t="shared" si="0"/>
        <v>0</v>
      </c>
      <c r="N41" s="41">
        <f t="shared" si="4"/>
        <v>0</v>
      </c>
      <c r="O41">
        <f t="shared" si="5"/>
        <v>26.8</v>
      </c>
      <c r="P41">
        <f t="shared" si="6"/>
        <v>9.57</v>
      </c>
      <c r="Q41">
        <f t="shared" si="7"/>
        <v>40.200000000000003</v>
      </c>
      <c r="R41">
        <f t="shared" si="8"/>
        <v>14.36</v>
      </c>
      <c r="S41">
        <f t="shared" si="9"/>
        <v>67</v>
      </c>
      <c r="T41">
        <f t="shared" si="10"/>
        <v>23.93</v>
      </c>
      <c r="U41" s="39">
        <f t="shared" si="11"/>
        <v>43.29</v>
      </c>
      <c r="V41">
        <f t="shared" si="12"/>
        <v>38.29</v>
      </c>
      <c r="W41" s="39">
        <f t="shared" si="13"/>
        <v>765.00999999999988</v>
      </c>
      <c r="X41" s="41">
        <f t="shared" si="14"/>
        <v>47.86</v>
      </c>
    </row>
    <row r="42" spans="1:24" x14ac:dyDescent="0.25">
      <c r="A42" t="s">
        <v>244</v>
      </c>
      <c r="B42" t="s">
        <v>245</v>
      </c>
      <c r="C42" t="s">
        <v>246</v>
      </c>
      <c r="D42" t="s">
        <v>247</v>
      </c>
      <c r="E42" t="s">
        <v>248</v>
      </c>
      <c r="F42" s="8">
        <v>43466</v>
      </c>
      <c r="G42">
        <v>123.5</v>
      </c>
      <c r="H42">
        <f t="shared" si="1"/>
        <v>31</v>
      </c>
      <c r="K42">
        <f t="shared" si="2"/>
        <v>31</v>
      </c>
      <c r="L42" s="39">
        <f t="shared" si="3"/>
        <v>549.42999999999995</v>
      </c>
      <c r="M42" s="41">
        <f t="shared" si="0"/>
        <v>0</v>
      </c>
      <c r="N42" s="41">
        <f t="shared" si="4"/>
        <v>0</v>
      </c>
      <c r="O42">
        <f t="shared" si="5"/>
        <v>26.8</v>
      </c>
      <c r="P42">
        <f t="shared" si="6"/>
        <v>9.57</v>
      </c>
      <c r="Q42">
        <f t="shared" si="7"/>
        <v>40.200000000000003</v>
      </c>
      <c r="R42">
        <f t="shared" si="8"/>
        <v>14.36</v>
      </c>
      <c r="S42">
        <f t="shared" si="9"/>
        <v>67</v>
      </c>
      <c r="T42">
        <f t="shared" si="10"/>
        <v>23.93</v>
      </c>
      <c r="U42" s="39">
        <f t="shared" si="11"/>
        <v>43.29</v>
      </c>
      <c r="V42">
        <f t="shared" si="12"/>
        <v>38.29</v>
      </c>
      <c r="W42" s="39">
        <f t="shared" si="13"/>
        <v>765.00999999999988</v>
      </c>
      <c r="X42" s="41">
        <f t="shared" si="14"/>
        <v>47.86</v>
      </c>
    </row>
    <row r="43" spans="1:24" x14ac:dyDescent="0.25">
      <c r="A43" t="s">
        <v>249</v>
      </c>
      <c r="B43" t="s">
        <v>250</v>
      </c>
      <c r="C43" t="s">
        <v>251</v>
      </c>
      <c r="D43" t="s">
        <v>252</v>
      </c>
      <c r="E43" t="s">
        <v>253</v>
      </c>
      <c r="F43" s="8">
        <v>43466</v>
      </c>
      <c r="G43">
        <v>123.5</v>
      </c>
      <c r="H43">
        <f t="shared" si="1"/>
        <v>31</v>
      </c>
      <c r="K43">
        <f t="shared" si="2"/>
        <v>31</v>
      </c>
      <c r="L43" s="39">
        <f t="shared" si="3"/>
        <v>549.42999999999995</v>
      </c>
      <c r="M43" s="41">
        <f t="shared" si="0"/>
        <v>0</v>
      </c>
      <c r="N43" s="41">
        <f t="shared" si="4"/>
        <v>0</v>
      </c>
      <c r="O43">
        <f t="shared" si="5"/>
        <v>26.8</v>
      </c>
      <c r="P43">
        <f t="shared" si="6"/>
        <v>9.57</v>
      </c>
      <c r="Q43">
        <f t="shared" si="7"/>
        <v>40.200000000000003</v>
      </c>
      <c r="R43">
        <f t="shared" si="8"/>
        <v>14.36</v>
      </c>
      <c r="S43">
        <f t="shared" si="9"/>
        <v>67</v>
      </c>
      <c r="T43">
        <f t="shared" si="10"/>
        <v>23.93</v>
      </c>
      <c r="U43" s="39">
        <f t="shared" si="11"/>
        <v>43.29</v>
      </c>
      <c r="V43">
        <f t="shared" si="12"/>
        <v>38.29</v>
      </c>
      <c r="W43" s="39">
        <f t="shared" si="13"/>
        <v>765.00999999999988</v>
      </c>
      <c r="X43" s="41">
        <f t="shared" si="14"/>
        <v>47.86</v>
      </c>
    </row>
    <row r="44" spans="1:24" x14ac:dyDescent="0.25">
      <c r="A44" t="s">
        <v>254</v>
      </c>
      <c r="B44" t="s">
        <v>255</v>
      </c>
      <c r="C44" t="s">
        <v>256</v>
      </c>
      <c r="D44" t="s">
        <v>257</v>
      </c>
      <c r="E44" t="s">
        <v>258</v>
      </c>
      <c r="F44" s="8">
        <v>43466</v>
      </c>
      <c r="G44">
        <v>123.5</v>
      </c>
      <c r="H44">
        <f t="shared" si="1"/>
        <v>31</v>
      </c>
      <c r="K44">
        <f t="shared" si="2"/>
        <v>31</v>
      </c>
      <c r="L44" s="39">
        <f t="shared" si="3"/>
        <v>549.42999999999995</v>
      </c>
      <c r="M44" s="41">
        <f t="shared" si="0"/>
        <v>0</v>
      </c>
      <c r="N44" s="41">
        <f t="shared" si="4"/>
        <v>0</v>
      </c>
      <c r="O44">
        <f t="shared" si="5"/>
        <v>26.8</v>
      </c>
      <c r="P44">
        <f t="shared" si="6"/>
        <v>9.57</v>
      </c>
      <c r="Q44">
        <f t="shared" si="7"/>
        <v>40.200000000000003</v>
      </c>
      <c r="R44">
        <f t="shared" si="8"/>
        <v>14.36</v>
      </c>
      <c r="S44">
        <f t="shared" si="9"/>
        <v>67</v>
      </c>
      <c r="T44">
        <f t="shared" si="10"/>
        <v>23.93</v>
      </c>
      <c r="U44" s="39">
        <f t="shared" si="11"/>
        <v>43.29</v>
      </c>
      <c r="V44">
        <f t="shared" si="12"/>
        <v>38.29</v>
      </c>
      <c r="W44" s="39">
        <f t="shared" si="13"/>
        <v>765.00999999999988</v>
      </c>
      <c r="X44" s="41">
        <f t="shared" si="14"/>
        <v>47.86</v>
      </c>
    </row>
    <row r="45" spans="1:24" x14ac:dyDescent="0.25">
      <c r="A45" t="s">
        <v>259</v>
      </c>
      <c r="B45" t="s">
        <v>260</v>
      </c>
      <c r="C45" t="s">
        <v>261</v>
      </c>
      <c r="D45" t="s">
        <v>262</v>
      </c>
      <c r="E45" t="s">
        <v>263</v>
      </c>
      <c r="F45" s="8">
        <v>43466</v>
      </c>
      <c r="G45">
        <v>123.5</v>
      </c>
      <c r="H45">
        <f t="shared" si="1"/>
        <v>31</v>
      </c>
      <c r="K45">
        <f t="shared" si="2"/>
        <v>31</v>
      </c>
      <c r="L45" s="39">
        <f t="shared" si="3"/>
        <v>549.42999999999995</v>
      </c>
      <c r="M45" s="41">
        <f t="shared" si="0"/>
        <v>0</v>
      </c>
      <c r="N45" s="41">
        <f t="shared" si="4"/>
        <v>0</v>
      </c>
      <c r="O45">
        <f t="shared" si="5"/>
        <v>26.8</v>
      </c>
      <c r="P45">
        <f t="shared" si="6"/>
        <v>9.57</v>
      </c>
      <c r="Q45">
        <f t="shared" si="7"/>
        <v>40.200000000000003</v>
      </c>
      <c r="R45">
        <f t="shared" si="8"/>
        <v>14.36</v>
      </c>
      <c r="S45">
        <f t="shared" si="9"/>
        <v>67</v>
      </c>
      <c r="T45">
        <f t="shared" si="10"/>
        <v>23.93</v>
      </c>
      <c r="U45" s="39">
        <f t="shared" si="11"/>
        <v>43.29</v>
      </c>
      <c r="V45">
        <f t="shared" si="12"/>
        <v>38.29</v>
      </c>
      <c r="W45" s="39">
        <f t="shared" si="13"/>
        <v>765.00999999999988</v>
      </c>
      <c r="X45" s="41">
        <f t="shared" si="14"/>
        <v>47.86</v>
      </c>
    </row>
    <row r="46" spans="1:24" x14ac:dyDescent="0.25">
      <c r="A46" t="s">
        <v>264</v>
      </c>
      <c r="B46" t="s">
        <v>265</v>
      </c>
      <c r="C46" t="s">
        <v>266</v>
      </c>
      <c r="D46" t="s">
        <v>267</v>
      </c>
      <c r="E46" t="s">
        <v>268</v>
      </c>
      <c r="F46" s="8">
        <v>43466</v>
      </c>
      <c r="G46">
        <v>123.5</v>
      </c>
      <c r="H46">
        <f t="shared" si="1"/>
        <v>31</v>
      </c>
      <c r="K46">
        <f t="shared" si="2"/>
        <v>31</v>
      </c>
      <c r="L46" s="39">
        <f t="shared" si="3"/>
        <v>549.42999999999995</v>
      </c>
      <c r="M46" s="41">
        <f t="shared" si="0"/>
        <v>0</v>
      </c>
      <c r="N46" s="41">
        <f t="shared" si="4"/>
        <v>0</v>
      </c>
      <c r="O46">
        <f t="shared" si="5"/>
        <v>26.8</v>
      </c>
      <c r="P46">
        <f t="shared" si="6"/>
        <v>9.57</v>
      </c>
      <c r="Q46">
        <f t="shared" si="7"/>
        <v>40.200000000000003</v>
      </c>
      <c r="R46">
        <f t="shared" si="8"/>
        <v>14.36</v>
      </c>
      <c r="S46">
        <f t="shared" si="9"/>
        <v>67</v>
      </c>
      <c r="T46">
        <f t="shared" si="10"/>
        <v>23.93</v>
      </c>
      <c r="U46" s="39">
        <f t="shared" si="11"/>
        <v>43.29</v>
      </c>
      <c r="V46">
        <f t="shared" si="12"/>
        <v>38.29</v>
      </c>
      <c r="W46" s="39">
        <f t="shared" si="13"/>
        <v>765.00999999999988</v>
      </c>
      <c r="X46" s="41">
        <f t="shared" si="14"/>
        <v>47.86</v>
      </c>
    </row>
    <row r="47" spans="1:24" x14ac:dyDescent="0.25">
      <c r="A47" t="s">
        <v>269</v>
      </c>
      <c r="B47" t="s">
        <v>270</v>
      </c>
      <c r="C47" t="s">
        <v>271</v>
      </c>
      <c r="D47" t="s">
        <v>272</v>
      </c>
      <c r="E47" t="s">
        <v>273</v>
      </c>
      <c r="F47" s="8">
        <v>43466</v>
      </c>
      <c r="G47">
        <v>123.5</v>
      </c>
      <c r="H47">
        <f t="shared" si="1"/>
        <v>31</v>
      </c>
      <c r="K47">
        <f t="shared" si="2"/>
        <v>31</v>
      </c>
      <c r="L47" s="39">
        <f t="shared" si="3"/>
        <v>549.42999999999995</v>
      </c>
      <c r="M47" s="41">
        <f t="shared" si="0"/>
        <v>0</v>
      </c>
      <c r="N47" s="41">
        <f t="shared" si="4"/>
        <v>0</v>
      </c>
      <c r="O47">
        <f t="shared" si="5"/>
        <v>26.8</v>
      </c>
      <c r="P47">
        <f t="shared" si="6"/>
        <v>9.57</v>
      </c>
      <c r="Q47">
        <f t="shared" si="7"/>
        <v>40.200000000000003</v>
      </c>
      <c r="R47">
        <f t="shared" si="8"/>
        <v>14.36</v>
      </c>
      <c r="S47">
        <f t="shared" si="9"/>
        <v>67</v>
      </c>
      <c r="T47">
        <f t="shared" si="10"/>
        <v>23.93</v>
      </c>
      <c r="U47" s="39">
        <f t="shared" si="11"/>
        <v>43.29</v>
      </c>
      <c r="V47">
        <f t="shared" si="12"/>
        <v>38.29</v>
      </c>
      <c r="W47" s="39">
        <f t="shared" si="13"/>
        <v>765.00999999999988</v>
      </c>
      <c r="X47" s="41">
        <f t="shared" si="14"/>
        <v>47.86</v>
      </c>
    </row>
    <row r="48" spans="1:24" x14ac:dyDescent="0.25">
      <c r="A48" t="s">
        <v>274</v>
      </c>
      <c r="B48" t="s">
        <v>275</v>
      </c>
      <c r="C48" t="s">
        <v>276</v>
      </c>
      <c r="D48" t="s">
        <v>277</v>
      </c>
      <c r="E48" t="s">
        <v>278</v>
      </c>
      <c r="F48" s="8">
        <v>43800</v>
      </c>
      <c r="G48">
        <v>123.5</v>
      </c>
      <c r="H48">
        <f t="shared" si="1"/>
        <v>31</v>
      </c>
      <c r="K48">
        <f t="shared" si="2"/>
        <v>31</v>
      </c>
      <c r="L48" s="39">
        <f t="shared" si="3"/>
        <v>549.42999999999995</v>
      </c>
      <c r="M48" s="41">
        <f t="shared" si="0"/>
        <v>0</v>
      </c>
      <c r="N48" s="41">
        <f t="shared" si="4"/>
        <v>0</v>
      </c>
      <c r="O48">
        <f t="shared" si="5"/>
        <v>26.8</v>
      </c>
      <c r="P48">
        <f t="shared" si="6"/>
        <v>9.57</v>
      </c>
      <c r="Q48">
        <f t="shared" si="7"/>
        <v>40.200000000000003</v>
      </c>
      <c r="R48">
        <f t="shared" si="8"/>
        <v>14.36</v>
      </c>
      <c r="S48">
        <f t="shared" si="9"/>
        <v>67</v>
      </c>
      <c r="T48">
        <f t="shared" si="10"/>
        <v>23.93</v>
      </c>
      <c r="U48" s="39">
        <f t="shared" si="11"/>
        <v>43.29</v>
      </c>
      <c r="V48">
        <f t="shared" si="12"/>
        <v>38.29</v>
      </c>
      <c r="W48" s="39">
        <f t="shared" si="13"/>
        <v>765.00999999999988</v>
      </c>
      <c r="X48" s="41">
        <f t="shared" si="14"/>
        <v>47.86</v>
      </c>
    </row>
    <row r="49" spans="1:24" x14ac:dyDescent="0.25">
      <c r="A49" t="s">
        <v>279</v>
      </c>
      <c r="B49" t="s">
        <v>280</v>
      </c>
      <c r="C49" t="s">
        <v>281</v>
      </c>
      <c r="D49" t="s">
        <v>282</v>
      </c>
      <c r="E49" t="s">
        <v>283</v>
      </c>
      <c r="F49" s="8">
        <v>43496</v>
      </c>
      <c r="G49">
        <v>123.5</v>
      </c>
      <c r="H49">
        <f t="shared" si="1"/>
        <v>31</v>
      </c>
      <c r="K49">
        <f t="shared" si="2"/>
        <v>31</v>
      </c>
      <c r="L49" s="39">
        <f t="shared" si="3"/>
        <v>549.42999999999995</v>
      </c>
      <c r="M49" s="41">
        <f t="shared" si="0"/>
        <v>0</v>
      </c>
      <c r="N49" s="41">
        <f t="shared" si="4"/>
        <v>0</v>
      </c>
      <c r="O49">
        <f t="shared" si="5"/>
        <v>26.8</v>
      </c>
      <c r="P49">
        <f t="shared" si="6"/>
        <v>9.57</v>
      </c>
      <c r="Q49">
        <f t="shared" si="7"/>
        <v>40.200000000000003</v>
      </c>
      <c r="R49">
        <f t="shared" si="8"/>
        <v>14.36</v>
      </c>
      <c r="S49">
        <f t="shared" si="9"/>
        <v>67</v>
      </c>
      <c r="T49">
        <f t="shared" si="10"/>
        <v>23.93</v>
      </c>
      <c r="U49" s="39">
        <f t="shared" si="11"/>
        <v>43.29</v>
      </c>
      <c r="V49">
        <f t="shared" si="12"/>
        <v>38.29</v>
      </c>
      <c r="W49" s="39">
        <f t="shared" si="13"/>
        <v>765.00999999999988</v>
      </c>
      <c r="X49" s="41">
        <f t="shared" si="14"/>
        <v>47.86</v>
      </c>
    </row>
    <row r="50" spans="1:24" x14ac:dyDescent="0.25">
      <c r="A50" t="s">
        <v>284</v>
      </c>
      <c r="B50" t="s">
        <v>285</v>
      </c>
      <c r="C50" t="s">
        <v>286</v>
      </c>
      <c r="D50" t="s">
        <v>287</v>
      </c>
      <c r="E50" t="s">
        <v>288</v>
      </c>
      <c r="F50" s="8">
        <v>43497</v>
      </c>
      <c r="G50">
        <v>123.5</v>
      </c>
      <c r="H50">
        <f t="shared" si="1"/>
        <v>31</v>
      </c>
      <c r="K50">
        <f t="shared" si="2"/>
        <v>31</v>
      </c>
      <c r="L50" s="39">
        <f t="shared" si="3"/>
        <v>549.42999999999995</v>
      </c>
      <c r="M50" s="41">
        <f t="shared" si="0"/>
        <v>0</v>
      </c>
      <c r="N50" s="41">
        <f t="shared" si="4"/>
        <v>0</v>
      </c>
      <c r="O50">
        <f t="shared" si="5"/>
        <v>26.8</v>
      </c>
      <c r="P50">
        <f t="shared" si="6"/>
        <v>9.57</v>
      </c>
      <c r="Q50">
        <f t="shared" si="7"/>
        <v>40.200000000000003</v>
      </c>
      <c r="R50">
        <f t="shared" si="8"/>
        <v>14.36</v>
      </c>
      <c r="S50">
        <f t="shared" si="9"/>
        <v>67</v>
      </c>
      <c r="T50">
        <f t="shared" si="10"/>
        <v>23.93</v>
      </c>
      <c r="U50" s="39">
        <f t="shared" si="11"/>
        <v>43.29</v>
      </c>
      <c r="V50">
        <f t="shared" si="12"/>
        <v>38.29</v>
      </c>
      <c r="W50" s="39">
        <f t="shared" si="13"/>
        <v>765.00999999999988</v>
      </c>
      <c r="X50" s="41">
        <f t="shared" si="14"/>
        <v>47.86</v>
      </c>
    </row>
    <row r="51" spans="1:24" x14ac:dyDescent="0.25">
      <c r="A51" t="s">
        <v>289</v>
      </c>
      <c r="B51" t="s">
        <v>290</v>
      </c>
      <c r="C51" t="s">
        <v>291</v>
      </c>
      <c r="D51" t="s">
        <v>292</v>
      </c>
      <c r="E51" t="s">
        <v>293</v>
      </c>
      <c r="F51" s="8">
        <v>43528</v>
      </c>
      <c r="G51">
        <v>329.43</v>
      </c>
      <c r="H51">
        <f t="shared" si="1"/>
        <v>31</v>
      </c>
      <c r="K51">
        <f t="shared" si="2"/>
        <v>31</v>
      </c>
      <c r="L51" s="39">
        <f t="shared" si="3"/>
        <v>549.42999999999995</v>
      </c>
      <c r="M51" s="41">
        <f t="shared" si="0"/>
        <v>23.457390000000007</v>
      </c>
      <c r="N51" s="41">
        <f t="shared" si="4"/>
        <v>8.5299600000000027</v>
      </c>
      <c r="O51">
        <f t="shared" si="5"/>
        <v>71.489999999999995</v>
      </c>
      <c r="P51">
        <f t="shared" si="6"/>
        <v>25.53</v>
      </c>
      <c r="Q51">
        <f t="shared" si="7"/>
        <v>107.23</v>
      </c>
      <c r="R51">
        <f t="shared" si="8"/>
        <v>38.299999999999997</v>
      </c>
      <c r="S51">
        <f t="shared" si="9"/>
        <v>178.72</v>
      </c>
      <c r="T51">
        <f t="shared" si="10"/>
        <v>63.83</v>
      </c>
      <c r="U51" s="39">
        <f t="shared" si="11"/>
        <v>115.47</v>
      </c>
      <c r="V51">
        <f t="shared" si="12"/>
        <v>102.12</v>
      </c>
      <c r="W51" s="39">
        <f t="shared" si="13"/>
        <v>1147.9173900000001</v>
      </c>
      <c r="X51" s="41">
        <f t="shared" si="14"/>
        <v>136.18995999999999</v>
      </c>
    </row>
    <row r="52" spans="1:24" x14ac:dyDescent="0.25">
      <c r="A52" t="s">
        <v>294</v>
      </c>
      <c r="B52" t="s">
        <v>295</v>
      </c>
      <c r="C52" t="s">
        <v>296</v>
      </c>
      <c r="D52" t="s">
        <v>297</v>
      </c>
      <c r="E52" t="s">
        <v>298</v>
      </c>
      <c r="F52" s="8">
        <v>43544</v>
      </c>
      <c r="G52">
        <v>123.5</v>
      </c>
      <c r="H52">
        <f t="shared" si="1"/>
        <v>31</v>
      </c>
      <c r="K52">
        <f t="shared" si="2"/>
        <v>31</v>
      </c>
      <c r="L52" s="39">
        <f t="shared" si="3"/>
        <v>549.42999999999995</v>
      </c>
      <c r="M52" s="41">
        <f t="shared" si="0"/>
        <v>0</v>
      </c>
      <c r="N52" s="41">
        <f t="shared" si="4"/>
        <v>0</v>
      </c>
      <c r="O52">
        <f t="shared" si="5"/>
        <v>26.8</v>
      </c>
      <c r="P52">
        <f t="shared" si="6"/>
        <v>9.57</v>
      </c>
      <c r="Q52">
        <f t="shared" si="7"/>
        <v>40.200000000000003</v>
      </c>
      <c r="R52">
        <f t="shared" si="8"/>
        <v>14.36</v>
      </c>
      <c r="S52">
        <f t="shared" si="9"/>
        <v>67</v>
      </c>
      <c r="T52">
        <f t="shared" si="10"/>
        <v>23.93</v>
      </c>
      <c r="U52" s="39">
        <f t="shared" si="11"/>
        <v>43.29</v>
      </c>
      <c r="V52">
        <f t="shared" si="12"/>
        <v>38.29</v>
      </c>
      <c r="W52" s="39">
        <f t="shared" si="13"/>
        <v>765.00999999999988</v>
      </c>
      <c r="X52" s="41">
        <f t="shared" si="14"/>
        <v>47.86</v>
      </c>
    </row>
    <row r="53" spans="1:24" x14ac:dyDescent="0.25">
      <c r="A53" t="s">
        <v>299</v>
      </c>
      <c r="B53" t="s">
        <v>300</v>
      </c>
      <c r="C53" t="s">
        <v>301</v>
      </c>
      <c r="D53" t="s">
        <v>302</v>
      </c>
      <c r="E53" t="s">
        <v>303</v>
      </c>
      <c r="F53" s="8">
        <v>43580</v>
      </c>
      <c r="G53">
        <v>123.5</v>
      </c>
      <c r="H53">
        <f t="shared" si="1"/>
        <v>31</v>
      </c>
      <c r="K53">
        <f t="shared" si="2"/>
        <v>31</v>
      </c>
      <c r="L53" s="39">
        <f t="shared" si="3"/>
        <v>549.42999999999995</v>
      </c>
      <c r="M53" s="41">
        <f t="shared" si="0"/>
        <v>0</v>
      </c>
      <c r="N53" s="41">
        <f t="shared" si="4"/>
        <v>0</v>
      </c>
      <c r="O53">
        <f t="shared" si="5"/>
        <v>26.8</v>
      </c>
      <c r="P53">
        <f t="shared" si="6"/>
        <v>9.57</v>
      </c>
      <c r="Q53">
        <f t="shared" si="7"/>
        <v>40.200000000000003</v>
      </c>
      <c r="R53">
        <f t="shared" si="8"/>
        <v>14.36</v>
      </c>
      <c r="S53">
        <f t="shared" si="9"/>
        <v>67</v>
      </c>
      <c r="T53">
        <f t="shared" si="10"/>
        <v>23.93</v>
      </c>
      <c r="U53" s="39">
        <f t="shared" si="11"/>
        <v>43.29</v>
      </c>
      <c r="V53">
        <f t="shared" si="12"/>
        <v>38.29</v>
      </c>
      <c r="W53" s="39">
        <f t="shared" si="13"/>
        <v>765.00999999999988</v>
      </c>
      <c r="X53" s="41">
        <f t="shared" si="14"/>
        <v>47.86</v>
      </c>
    </row>
    <row r="54" spans="1:24" x14ac:dyDescent="0.25">
      <c r="A54" t="s">
        <v>304</v>
      </c>
      <c r="B54" t="s">
        <v>305</v>
      </c>
      <c r="C54" t="s">
        <v>306</v>
      </c>
      <c r="D54" t="s">
        <v>307</v>
      </c>
      <c r="E54" t="s">
        <v>308</v>
      </c>
      <c r="F54" s="8">
        <v>43592</v>
      </c>
      <c r="G54">
        <v>123.5</v>
      </c>
      <c r="H54">
        <f t="shared" si="1"/>
        <v>31</v>
      </c>
      <c r="K54">
        <f t="shared" si="2"/>
        <v>31</v>
      </c>
      <c r="L54" s="39">
        <f t="shared" si="3"/>
        <v>549.42999999999995</v>
      </c>
      <c r="M54" s="41">
        <f t="shared" si="0"/>
        <v>0</v>
      </c>
      <c r="N54" s="41">
        <f t="shared" si="4"/>
        <v>0</v>
      </c>
      <c r="O54">
        <f t="shared" si="5"/>
        <v>26.8</v>
      </c>
      <c r="P54">
        <f t="shared" si="6"/>
        <v>9.57</v>
      </c>
      <c r="Q54">
        <f t="shared" si="7"/>
        <v>40.200000000000003</v>
      </c>
      <c r="R54">
        <f t="shared" si="8"/>
        <v>14.36</v>
      </c>
      <c r="S54">
        <f t="shared" si="9"/>
        <v>67</v>
      </c>
      <c r="T54">
        <f t="shared" si="10"/>
        <v>23.93</v>
      </c>
      <c r="U54" s="39">
        <f t="shared" si="11"/>
        <v>43.29</v>
      </c>
      <c r="V54">
        <f t="shared" si="12"/>
        <v>38.29</v>
      </c>
      <c r="W54" s="39">
        <f t="shared" si="13"/>
        <v>765.00999999999988</v>
      </c>
      <c r="X54" s="41">
        <f t="shared" si="14"/>
        <v>47.86</v>
      </c>
    </row>
    <row r="55" spans="1:24" x14ac:dyDescent="0.25">
      <c r="A55" t="s">
        <v>309</v>
      </c>
      <c r="B55" t="s">
        <v>310</v>
      </c>
      <c r="C55" t="s">
        <v>311</v>
      </c>
      <c r="D55" t="s">
        <v>312</v>
      </c>
      <c r="E55" t="s">
        <v>313</v>
      </c>
      <c r="F55" s="8">
        <v>43624</v>
      </c>
      <c r="G55">
        <v>123.5</v>
      </c>
      <c r="H55">
        <f t="shared" si="1"/>
        <v>31</v>
      </c>
      <c r="K55">
        <f t="shared" si="2"/>
        <v>31</v>
      </c>
      <c r="L55" s="39">
        <f t="shared" si="3"/>
        <v>549.42999999999995</v>
      </c>
      <c r="M55" s="41">
        <f t="shared" si="0"/>
        <v>0</v>
      </c>
      <c r="N55" s="41">
        <f t="shared" si="4"/>
        <v>0</v>
      </c>
      <c r="O55">
        <f t="shared" si="5"/>
        <v>26.8</v>
      </c>
      <c r="P55">
        <f t="shared" si="6"/>
        <v>9.57</v>
      </c>
      <c r="Q55">
        <f t="shared" si="7"/>
        <v>40.200000000000003</v>
      </c>
      <c r="R55">
        <f t="shared" si="8"/>
        <v>14.36</v>
      </c>
      <c r="S55">
        <f t="shared" si="9"/>
        <v>67</v>
      </c>
      <c r="T55">
        <f t="shared" si="10"/>
        <v>23.93</v>
      </c>
      <c r="U55" s="39">
        <f t="shared" si="11"/>
        <v>43.29</v>
      </c>
      <c r="V55">
        <f t="shared" si="12"/>
        <v>38.29</v>
      </c>
      <c r="W55" s="39">
        <f t="shared" si="13"/>
        <v>765.00999999999988</v>
      </c>
      <c r="X55" s="41">
        <f t="shared" si="14"/>
        <v>47.86</v>
      </c>
    </row>
    <row r="56" spans="1:24" x14ac:dyDescent="0.25">
      <c r="A56" t="s">
        <v>314</v>
      </c>
      <c r="B56" t="s">
        <v>315</v>
      </c>
      <c r="C56" t="s">
        <v>316</v>
      </c>
      <c r="D56" t="s">
        <v>317</v>
      </c>
      <c r="E56" t="s">
        <v>318</v>
      </c>
      <c r="F56" s="8">
        <v>43647</v>
      </c>
      <c r="G56">
        <v>123.5</v>
      </c>
      <c r="H56">
        <f t="shared" si="1"/>
        <v>31</v>
      </c>
      <c r="K56">
        <f t="shared" si="2"/>
        <v>31</v>
      </c>
      <c r="L56" s="39">
        <f t="shared" si="3"/>
        <v>549.42999999999995</v>
      </c>
      <c r="M56" s="41">
        <f t="shared" si="0"/>
        <v>0</v>
      </c>
      <c r="N56" s="41">
        <f t="shared" si="4"/>
        <v>0</v>
      </c>
      <c r="O56">
        <f t="shared" si="5"/>
        <v>26.8</v>
      </c>
      <c r="P56">
        <f t="shared" si="6"/>
        <v>9.57</v>
      </c>
      <c r="Q56">
        <f t="shared" si="7"/>
        <v>40.200000000000003</v>
      </c>
      <c r="R56">
        <f t="shared" si="8"/>
        <v>14.36</v>
      </c>
      <c r="S56">
        <f t="shared" si="9"/>
        <v>67</v>
      </c>
      <c r="T56">
        <f t="shared" si="10"/>
        <v>23.93</v>
      </c>
      <c r="U56" s="39">
        <f t="shared" si="11"/>
        <v>43.29</v>
      </c>
      <c r="V56">
        <f t="shared" si="12"/>
        <v>38.29</v>
      </c>
      <c r="W56" s="39">
        <f t="shared" si="13"/>
        <v>765.00999999999988</v>
      </c>
      <c r="X56" s="41">
        <f t="shared" si="14"/>
        <v>47.86</v>
      </c>
    </row>
    <row r="57" spans="1:24" x14ac:dyDescent="0.25">
      <c r="A57" t="s">
        <v>319</v>
      </c>
      <c r="B57" t="s">
        <v>320</v>
      </c>
      <c r="C57" t="s">
        <v>321</v>
      </c>
      <c r="D57" t="s">
        <v>322</v>
      </c>
      <c r="E57" t="s">
        <v>323</v>
      </c>
      <c r="F57" s="8">
        <v>43652</v>
      </c>
      <c r="G57">
        <v>123.5</v>
      </c>
      <c r="H57">
        <f t="shared" si="1"/>
        <v>31</v>
      </c>
      <c r="K57">
        <f t="shared" si="2"/>
        <v>31</v>
      </c>
      <c r="L57" s="39">
        <f t="shared" si="3"/>
        <v>549.42999999999995</v>
      </c>
      <c r="M57" s="41">
        <f t="shared" si="0"/>
        <v>0</v>
      </c>
      <c r="N57" s="41">
        <f t="shared" si="4"/>
        <v>0</v>
      </c>
      <c r="O57">
        <f t="shared" si="5"/>
        <v>26.8</v>
      </c>
      <c r="P57">
        <f t="shared" si="6"/>
        <v>9.57</v>
      </c>
      <c r="Q57">
        <f t="shared" si="7"/>
        <v>40.200000000000003</v>
      </c>
      <c r="R57">
        <f t="shared" si="8"/>
        <v>14.36</v>
      </c>
      <c r="S57">
        <f t="shared" si="9"/>
        <v>67</v>
      </c>
      <c r="T57">
        <f t="shared" si="10"/>
        <v>23.93</v>
      </c>
      <c r="U57" s="39">
        <f t="shared" si="11"/>
        <v>43.29</v>
      </c>
      <c r="V57">
        <f t="shared" si="12"/>
        <v>38.29</v>
      </c>
      <c r="W57" s="39">
        <f t="shared" si="13"/>
        <v>765.00999999999988</v>
      </c>
      <c r="X57" s="41">
        <f t="shared" si="14"/>
        <v>47.86</v>
      </c>
    </row>
    <row r="58" spans="1:24" x14ac:dyDescent="0.25">
      <c r="A58" t="s">
        <v>324</v>
      </c>
      <c r="B58" t="s">
        <v>325</v>
      </c>
      <c r="C58" t="s">
        <v>326</v>
      </c>
      <c r="D58" t="s">
        <v>327</v>
      </c>
      <c r="E58" t="s">
        <v>328</v>
      </c>
      <c r="F58" s="8">
        <v>43733</v>
      </c>
      <c r="G58">
        <v>123.5</v>
      </c>
      <c r="H58">
        <f t="shared" si="1"/>
        <v>31</v>
      </c>
      <c r="K58">
        <f t="shared" si="2"/>
        <v>31</v>
      </c>
      <c r="L58" s="39">
        <f t="shared" si="3"/>
        <v>549.42999999999995</v>
      </c>
      <c r="M58" s="41">
        <f t="shared" si="0"/>
        <v>0</v>
      </c>
      <c r="N58" s="41">
        <f t="shared" si="4"/>
        <v>0</v>
      </c>
      <c r="O58">
        <f t="shared" si="5"/>
        <v>26.8</v>
      </c>
      <c r="P58">
        <f t="shared" si="6"/>
        <v>9.57</v>
      </c>
      <c r="Q58">
        <f t="shared" si="7"/>
        <v>40.200000000000003</v>
      </c>
      <c r="R58">
        <f t="shared" si="8"/>
        <v>14.36</v>
      </c>
      <c r="S58">
        <f t="shared" si="9"/>
        <v>67</v>
      </c>
      <c r="T58">
        <f t="shared" si="10"/>
        <v>23.93</v>
      </c>
      <c r="U58" s="39">
        <f t="shared" si="11"/>
        <v>43.29</v>
      </c>
      <c r="V58">
        <f t="shared" si="12"/>
        <v>38.29</v>
      </c>
      <c r="W58" s="39">
        <f t="shared" si="13"/>
        <v>765.00999999999988</v>
      </c>
      <c r="X58" s="41">
        <f t="shared" si="14"/>
        <v>47.86</v>
      </c>
    </row>
    <row r="59" spans="1:24" x14ac:dyDescent="0.25">
      <c r="A59" t="s">
        <v>329</v>
      </c>
      <c r="B59" t="s">
        <v>330</v>
      </c>
      <c r="C59" t="s">
        <v>331</v>
      </c>
      <c r="D59" t="s">
        <v>332</v>
      </c>
      <c r="E59" t="s">
        <v>333</v>
      </c>
      <c r="F59" s="8">
        <v>43739</v>
      </c>
      <c r="G59">
        <v>123.5</v>
      </c>
      <c r="H59">
        <f t="shared" si="1"/>
        <v>31</v>
      </c>
      <c r="K59">
        <f t="shared" si="2"/>
        <v>31</v>
      </c>
      <c r="L59" s="39">
        <f t="shared" si="3"/>
        <v>549.42999999999995</v>
      </c>
      <c r="M59" s="41">
        <f t="shared" si="0"/>
        <v>0</v>
      </c>
      <c r="N59" s="41">
        <f t="shared" si="4"/>
        <v>0</v>
      </c>
      <c r="O59">
        <f t="shared" si="5"/>
        <v>26.8</v>
      </c>
      <c r="P59">
        <f t="shared" si="6"/>
        <v>9.57</v>
      </c>
      <c r="Q59">
        <f t="shared" si="7"/>
        <v>40.200000000000003</v>
      </c>
      <c r="R59">
        <f t="shared" si="8"/>
        <v>14.36</v>
      </c>
      <c r="S59">
        <f t="shared" si="9"/>
        <v>67</v>
      </c>
      <c r="T59">
        <f t="shared" si="10"/>
        <v>23.93</v>
      </c>
      <c r="U59" s="39">
        <f t="shared" si="11"/>
        <v>43.29</v>
      </c>
      <c r="V59">
        <f t="shared" si="12"/>
        <v>38.29</v>
      </c>
      <c r="W59" s="39">
        <f t="shared" si="13"/>
        <v>765.00999999999988</v>
      </c>
      <c r="X59" s="41">
        <f t="shared" si="14"/>
        <v>47.86</v>
      </c>
    </row>
    <row r="60" spans="1:24" x14ac:dyDescent="0.25">
      <c r="A60" t="s">
        <v>334</v>
      </c>
      <c r="B60" t="s">
        <v>335</v>
      </c>
      <c r="C60" t="s">
        <v>336</v>
      </c>
      <c r="D60" t="s">
        <v>337</v>
      </c>
      <c r="E60" t="s">
        <v>338</v>
      </c>
      <c r="F60" s="8">
        <v>43754</v>
      </c>
      <c r="G60">
        <v>123.5</v>
      </c>
      <c r="H60">
        <f t="shared" si="1"/>
        <v>31</v>
      </c>
      <c r="K60">
        <f t="shared" si="2"/>
        <v>31</v>
      </c>
      <c r="L60" s="39">
        <f t="shared" si="3"/>
        <v>549.42999999999995</v>
      </c>
      <c r="M60" s="41">
        <f t="shared" si="0"/>
        <v>0</v>
      </c>
      <c r="N60" s="41">
        <f t="shared" si="4"/>
        <v>0</v>
      </c>
      <c r="O60">
        <f t="shared" si="5"/>
        <v>26.8</v>
      </c>
      <c r="P60">
        <f t="shared" si="6"/>
        <v>9.57</v>
      </c>
      <c r="Q60">
        <f t="shared" si="7"/>
        <v>40.200000000000003</v>
      </c>
      <c r="R60">
        <f t="shared" si="8"/>
        <v>14.36</v>
      </c>
      <c r="S60">
        <f t="shared" si="9"/>
        <v>67</v>
      </c>
      <c r="T60">
        <f t="shared" si="10"/>
        <v>23.93</v>
      </c>
      <c r="U60" s="39">
        <f t="shared" si="11"/>
        <v>43.29</v>
      </c>
      <c r="V60">
        <f t="shared" si="12"/>
        <v>38.29</v>
      </c>
      <c r="W60" s="39">
        <f t="shared" si="13"/>
        <v>765.00999999999988</v>
      </c>
      <c r="X60" s="41">
        <f t="shared" si="14"/>
        <v>47.86</v>
      </c>
    </row>
    <row r="61" spans="1:24" x14ac:dyDescent="0.25">
      <c r="A61" t="s">
        <v>489</v>
      </c>
      <c r="B61" t="s">
        <v>490</v>
      </c>
      <c r="C61" t="s">
        <v>491</v>
      </c>
      <c r="D61" t="s">
        <v>492</v>
      </c>
      <c r="E61" t="s">
        <v>493</v>
      </c>
      <c r="F61" s="8">
        <v>43800</v>
      </c>
      <c r="G61">
        <v>123.5</v>
      </c>
      <c r="H61">
        <v>31</v>
      </c>
      <c r="K61">
        <f t="shared" si="2"/>
        <v>31</v>
      </c>
      <c r="L61" s="86">
        <f>ROUND(($B$2*L$6)*(H61-J61),2)</f>
        <v>549.42999999999995</v>
      </c>
      <c r="M61" s="41">
        <f>IF(G61&gt;$B$3,((G61-$B$3)*M$6)*(H61-J61),0)</f>
        <v>0</v>
      </c>
      <c r="N61" s="41">
        <f>IF(G61&gt;$B$3,((G61-$B$3)*N$6)*(H61-J61),0)</f>
        <v>0</v>
      </c>
      <c r="O61">
        <f>ROUND((G61*O$6)*(H61-J61),2)</f>
        <v>26.8</v>
      </c>
      <c r="P61">
        <f>ROUND((G61*P$6)*(H61-J61),2)</f>
        <v>9.57</v>
      </c>
      <c r="Q61">
        <f>ROUND((G61*Q$6)*(H61-J61),2)</f>
        <v>40.200000000000003</v>
      </c>
      <c r="R61">
        <f>ROUND((G61*R$6)*(H61-J61),2)</f>
        <v>14.36</v>
      </c>
      <c r="S61">
        <f>ROUND((G61*S$6)*(H61-I61-J61),2)</f>
        <v>67</v>
      </c>
      <c r="T61">
        <f>ROUND((G61*T$6)*(H61-I61-J61),2)</f>
        <v>23.93</v>
      </c>
      <c r="U61" s="86">
        <f>ROUND((G61*U$6)*K61,2)</f>
        <v>43.29</v>
      </c>
      <c r="V61">
        <f>ROUND((G61*V$6)*K61,2)</f>
        <v>38.29</v>
      </c>
      <c r="W61" s="86">
        <f>SUMIF($L$7:$V$7,W$7,L61:V61)</f>
        <v>765.00999999999988</v>
      </c>
      <c r="X61" s="41">
        <f>SUMIF($L$7:$V$7,X$7,L61:V61)</f>
        <v>47.86</v>
      </c>
    </row>
    <row r="62" spans="1:24" x14ac:dyDescent="0.25">
      <c r="A62" t="s">
        <v>494</v>
      </c>
      <c r="B62" t="s">
        <v>495</v>
      </c>
      <c r="C62" t="s">
        <v>496</v>
      </c>
      <c r="D62" t="s">
        <v>497</v>
      </c>
      <c r="E62" t="s">
        <v>498</v>
      </c>
      <c r="F62" s="8">
        <v>43800</v>
      </c>
      <c r="G62">
        <v>123.5</v>
      </c>
      <c r="H62">
        <v>31</v>
      </c>
      <c r="K62">
        <f t="shared" si="2"/>
        <v>31</v>
      </c>
      <c r="L62" s="86">
        <f>ROUND(($B$2*L$6)*(H62-J62),2)</f>
        <v>549.42999999999995</v>
      </c>
      <c r="M62" s="41">
        <f>IF(G62&gt;$B$3,((G62-$B$3)*M$6)*(H62-J62),0)</f>
        <v>0</v>
      </c>
      <c r="N62" s="41">
        <f>IF(G62&gt;$B$3,((G62-$B$3)*N$6)*(H62-J62),0)</f>
        <v>0</v>
      </c>
      <c r="O62">
        <f>ROUND((G62*O$6)*(H62-J62),2)</f>
        <v>26.8</v>
      </c>
      <c r="P62">
        <f>ROUND((G62*P$6)*(H62-J62),2)</f>
        <v>9.57</v>
      </c>
      <c r="Q62">
        <f>ROUND((G62*Q$6)*(H62-J62),2)</f>
        <v>40.200000000000003</v>
      </c>
      <c r="R62">
        <f>ROUND((G62*R$6)*(H62-J62),2)</f>
        <v>14.36</v>
      </c>
      <c r="S62">
        <f>ROUND((G62*S$6)*(H62-I62-J62),2)</f>
        <v>67</v>
      </c>
      <c r="T62">
        <f>ROUND((G62*T$6)*(H62-I62-J62),2)</f>
        <v>23.93</v>
      </c>
      <c r="U62" s="86">
        <f>ROUND((G62*U$6)*K62,2)</f>
        <v>43.29</v>
      </c>
      <c r="V62">
        <f>ROUND((G62*V$6)*K62,2)</f>
        <v>38.29</v>
      </c>
      <c r="W62" s="86">
        <f>SUMIF($L$7:$V$7,W$7,L62:V62)</f>
        <v>765.00999999999988</v>
      </c>
      <c r="X62" s="41">
        <f>SUMIF($L$7:$V$7,X$7,L62:V62)</f>
        <v>47.86</v>
      </c>
    </row>
    <row r="63" spans="1:24" x14ac:dyDescent="0.25">
      <c r="L63" s="86"/>
      <c r="M63" s="41"/>
      <c r="N63" s="41"/>
      <c r="U63" s="86"/>
      <c r="W63" s="86"/>
      <c r="X63" s="41"/>
    </row>
    <row r="64" spans="1:24" x14ac:dyDescent="0.25">
      <c r="L64" s="86"/>
      <c r="M64" s="41"/>
      <c r="N64" s="41"/>
      <c r="U64" s="86"/>
      <c r="W64" s="86"/>
      <c r="X64" s="41"/>
    </row>
    <row r="65" spans="8:24" x14ac:dyDescent="0.25">
      <c r="L65" s="86"/>
      <c r="M65" s="41"/>
      <c r="N65" s="41"/>
      <c r="U65" s="86"/>
      <c r="W65" s="86"/>
      <c r="X65" s="41"/>
    </row>
    <row r="66" spans="8:24" x14ac:dyDescent="0.25">
      <c r="L66" s="86"/>
      <c r="M66" s="41"/>
      <c r="N66" s="41"/>
      <c r="U66" s="86"/>
      <c r="W66" s="86"/>
      <c r="X66" s="41"/>
    </row>
    <row r="67" spans="8:24" x14ac:dyDescent="0.25">
      <c r="H67" s="138" t="s">
        <v>362</v>
      </c>
      <c r="I67" s="138"/>
      <c r="J67" s="138"/>
      <c r="K67" s="138"/>
      <c r="L67" s="53">
        <f t="shared" ref="L67:X67" si="15">SUM(L8:L60)</f>
        <v>29119.790000000012</v>
      </c>
      <c r="M67" s="53">
        <f t="shared" si="15"/>
        <v>237.47922</v>
      </c>
      <c r="N67" s="53">
        <f t="shared" si="15"/>
        <v>86.356080000000006</v>
      </c>
      <c r="O67" s="53">
        <f t="shared" si="15"/>
        <v>1834.4699999999982</v>
      </c>
      <c r="P67" s="53">
        <f t="shared" si="15"/>
        <v>655.11000000000047</v>
      </c>
      <c r="Q67" s="53">
        <f t="shared" si="15"/>
        <v>2751.6899999999987</v>
      </c>
      <c r="R67" s="53">
        <f t="shared" si="15"/>
        <v>982.88000000000045</v>
      </c>
      <c r="S67" s="53">
        <f t="shared" si="15"/>
        <v>4586.17</v>
      </c>
      <c r="T67" s="53">
        <f t="shared" si="15"/>
        <v>1637.9700000000005</v>
      </c>
      <c r="U67" s="53">
        <f t="shared" si="15"/>
        <v>2963.1499999999983</v>
      </c>
      <c r="V67" s="53">
        <f t="shared" si="15"/>
        <v>2620.8299999999986</v>
      </c>
      <c r="W67" s="53">
        <f t="shared" si="15"/>
        <v>44113.57922</v>
      </c>
      <c r="X67" s="53">
        <f t="shared" si="15"/>
        <v>3362.3160800000014</v>
      </c>
    </row>
    <row r="70" spans="8:24" x14ac:dyDescent="0.25">
      <c r="Q70" t="s">
        <v>364</v>
      </c>
      <c r="S70" t="s">
        <v>3</v>
      </c>
      <c r="T70" t="s">
        <v>363</v>
      </c>
    </row>
    <row r="71" spans="8:24" x14ac:dyDescent="0.25">
      <c r="Q71" t="s">
        <v>365</v>
      </c>
    </row>
    <row r="72" spans="8:24" x14ac:dyDescent="0.25">
      <c r="Q72" t="s">
        <v>366</v>
      </c>
    </row>
    <row r="73" spans="8:24" x14ac:dyDescent="0.25">
      <c r="Q73" t="s">
        <v>369</v>
      </c>
      <c r="S73" s="3">
        <f>W67</f>
        <v>44113.57922</v>
      </c>
    </row>
    <row r="74" spans="8:24" x14ac:dyDescent="0.25">
      <c r="Q74" t="s">
        <v>367</v>
      </c>
    </row>
    <row r="75" spans="8:24" x14ac:dyDescent="0.25">
      <c r="Q75" t="s">
        <v>368</v>
      </c>
      <c r="S75" s="3">
        <f>X67</f>
        <v>3362.3160800000014</v>
      </c>
    </row>
    <row r="76" spans="8:24" x14ac:dyDescent="0.25">
      <c r="R76" t="s">
        <v>370</v>
      </c>
      <c r="S76" s="9"/>
      <c r="T76" s="59">
        <f>S73+S75</f>
        <v>47475.895300000004</v>
      </c>
    </row>
    <row r="77" spans="8:24" x14ac:dyDescent="0.25">
      <c r="S77" s="3">
        <f>SUM(S73:S76)</f>
        <v>47475.895300000004</v>
      </c>
      <c r="T77" s="3">
        <f>SUM(T75:T76)</f>
        <v>47475.895300000004</v>
      </c>
    </row>
  </sheetData>
  <mergeCells count="7">
    <mergeCell ref="L4:R4"/>
    <mergeCell ref="S5:T5"/>
    <mergeCell ref="W5:X6"/>
    <mergeCell ref="H67:K67"/>
    <mergeCell ref="M5:N5"/>
    <mergeCell ref="O5:P5"/>
    <mergeCell ref="Q5:R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O81"/>
  <sheetViews>
    <sheetView workbookViewId="0">
      <selection activeCell="Q26" sqref="Q26"/>
    </sheetView>
  </sheetViews>
  <sheetFormatPr baseColWidth="10" defaultRowHeight="15" x14ac:dyDescent="0.25"/>
  <cols>
    <col min="9" max="15" width="11.5703125" bestFit="1" customWidth="1"/>
  </cols>
  <sheetData>
    <row r="1" spans="1:15" x14ac:dyDescent="0.25">
      <c r="A1" t="s">
        <v>63</v>
      </c>
      <c r="B1" t="s">
        <v>58</v>
      </c>
      <c r="C1">
        <f>VLOOKUP(B1,TABLAS!D2:E7,2,0)</f>
        <v>61</v>
      </c>
      <c r="I1" t="s">
        <v>376</v>
      </c>
    </row>
    <row r="5" spans="1:15" ht="42" x14ac:dyDescent="0.25">
      <c r="I5" s="57" t="s">
        <v>457</v>
      </c>
      <c r="J5" s="139" t="s">
        <v>371</v>
      </c>
      <c r="K5" s="140"/>
      <c r="L5" s="56" t="s">
        <v>346</v>
      </c>
      <c r="M5" s="56" t="s">
        <v>372</v>
      </c>
      <c r="N5" s="137" t="s">
        <v>12</v>
      </c>
      <c r="O5" s="137"/>
    </row>
    <row r="6" spans="1:15" ht="31.5" customHeight="1" x14ac:dyDescent="0.25">
      <c r="A6" s="37" t="s">
        <v>0</v>
      </c>
      <c r="B6" s="37" t="s">
        <v>1</v>
      </c>
      <c r="C6" s="37" t="s">
        <v>73</v>
      </c>
      <c r="D6" s="37" t="s">
        <v>339</v>
      </c>
      <c r="E6" s="38" t="s">
        <v>62</v>
      </c>
      <c r="F6" s="38" t="s">
        <v>340</v>
      </c>
      <c r="G6" s="38" t="s">
        <v>341</v>
      </c>
      <c r="H6" s="44" t="s">
        <v>342</v>
      </c>
      <c r="I6" s="51">
        <v>0.02</v>
      </c>
      <c r="J6" s="52">
        <v>3.15E-2</v>
      </c>
      <c r="K6" s="52">
        <v>1.125E-2</v>
      </c>
      <c r="L6" s="51">
        <v>0.05</v>
      </c>
      <c r="M6" s="51"/>
      <c r="N6" s="137"/>
      <c r="O6" s="137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3" t="s">
        <v>13</v>
      </c>
      <c r="J7" s="43" t="s">
        <v>13</v>
      </c>
      <c r="K7" s="43" t="s">
        <v>345</v>
      </c>
      <c r="L7" s="43" t="s">
        <v>13</v>
      </c>
      <c r="M7" s="43" t="s">
        <v>345</v>
      </c>
      <c r="N7" s="43" t="s">
        <v>13</v>
      </c>
      <c r="O7" s="43" t="s">
        <v>345</v>
      </c>
    </row>
    <row r="8" spans="1:15" x14ac:dyDescent="0.25">
      <c r="A8" t="s">
        <v>77</v>
      </c>
      <c r="B8" t="s">
        <v>78</v>
      </c>
      <c r="C8" s="8">
        <v>43466</v>
      </c>
      <c r="D8">
        <v>507.11</v>
      </c>
      <c r="E8">
        <f>$C$1</f>
        <v>61</v>
      </c>
      <c r="H8">
        <f>E8-F8-G8</f>
        <v>61</v>
      </c>
      <c r="I8" s="1">
        <f>ROUND((D8*I$6)*(E8-F8),2)</f>
        <v>618.66999999999996</v>
      </c>
      <c r="J8" s="1">
        <f>ROUND((D8*J$6)*H8,2)</f>
        <v>974.41</v>
      </c>
      <c r="K8" s="1">
        <f>ROUND((D8*K$6)*H8,2)</f>
        <v>348</v>
      </c>
      <c r="L8" s="1">
        <f>ROUND((D8*L$6)*(H8-F8),2)</f>
        <v>1546.69</v>
      </c>
      <c r="M8" s="1"/>
      <c r="N8" s="1">
        <f>SUMIF($I$7:$M$7,$N$7,I8:M8)</f>
        <v>3139.77</v>
      </c>
      <c r="O8" s="1">
        <f>SUMIF($I$7:$M$7,$O$7,I8:M8)</f>
        <v>348</v>
      </c>
    </row>
    <row r="9" spans="1:15" x14ac:dyDescent="0.25">
      <c r="A9" t="s">
        <v>82</v>
      </c>
      <c r="B9" t="s">
        <v>83</v>
      </c>
      <c r="C9" s="8">
        <v>43466</v>
      </c>
      <c r="D9">
        <v>328.53</v>
      </c>
      <c r="E9">
        <f t="shared" ref="E9:E60" si="0">$C$1</f>
        <v>61</v>
      </c>
      <c r="H9">
        <f t="shared" ref="H9:H60" si="1">E9-F9-G9</f>
        <v>61</v>
      </c>
      <c r="I9" s="1">
        <f t="shared" ref="I9:I60" si="2">ROUND((D9*I$6)*(E9-F9),2)</f>
        <v>400.81</v>
      </c>
      <c r="J9" s="1">
        <f t="shared" ref="J9:J60" si="3">ROUND((D9*J$6)*H9,2)</f>
        <v>631.27</v>
      </c>
      <c r="K9" s="1">
        <f t="shared" ref="K9:K60" si="4">ROUND((D9*K$6)*H9,2)</f>
        <v>225.45</v>
      </c>
      <c r="L9" s="1">
        <f t="shared" ref="L9:L60" si="5">ROUND((D9*L$6)*(H9-F9),2)</f>
        <v>1002.02</v>
      </c>
      <c r="M9" s="1"/>
      <c r="N9" s="1">
        <f t="shared" ref="N9:N60" si="6">SUMIF($I$7:$M$7,$N$7,I9:M9)</f>
        <v>2034.1</v>
      </c>
      <c r="O9" s="1">
        <f t="shared" ref="O9:O60" si="7">SUMIF($I$7:$M$7,$O$7,I9:M9)</f>
        <v>225.45</v>
      </c>
    </row>
    <row r="10" spans="1:15" x14ac:dyDescent="0.25">
      <c r="A10" t="s">
        <v>87</v>
      </c>
      <c r="B10" t="s">
        <v>88</v>
      </c>
      <c r="C10" s="8">
        <v>43466</v>
      </c>
      <c r="D10">
        <v>273.89999999999998</v>
      </c>
      <c r="E10">
        <f t="shared" si="0"/>
        <v>61</v>
      </c>
      <c r="H10">
        <f t="shared" si="1"/>
        <v>61</v>
      </c>
      <c r="I10" s="1">
        <f t="shared" si="2"/>
        <v>334.16</v>
      </c>
      <c r="J10" s="1">
        <f t="shared" si="3"/>
        <v>526.29999999999995</v>
      </c>
      <c r="K10" s="1">
        <f t="shared" si="4"/>
        <v>187.96</v>
      </c>
      <c r="L10" s="1">
        <f t="shared" si="5"/>
        <v>835.4</v>
      </c>
      <c r="M10" s="1"/>
      <c r="N10" s="1">
        <f t="shared" si="6"/>
        <v>1695.8600000000001</v>
      </c>
      <c r="O10" s="1">
        <f t="shared" si="7"/>
        <v>187.96</v>
      </c>
    </row>
    <row r="11" spans="1:15" x14ac:dyDescent="0.25">
      <c r="A11" t="s">
        <v>92</v>
      </c>
      <c r="B11" t="s">
        <v>93</v>
      </c>
      <c r="C11" s="8">
        <v>43466</v>
      </c>
      <c r="D11">
        <v>382.07</v>
      </c>
      <c r="E11">
        <f t="shared" si="0"/>
        <v>61</v>
      </c>
      <c r="H11">
        <f t="shared" si="1"/>
        <v>61</v>
      </c>
      <c r="I11" s="1">
        <f t="shared" si="2"/>
        <v>466.13</v>
      </c>
      <c r="J11" s="1">
        <f t="shared" si="3"/>
        <v>734.15</v>
      </c>
      <c r="K11" s="1">
        <f t="shared" si="4"/>
        <v>262.2</v>
      </c>
      <c r="L11" s="1">
        <f t="shared" si="5"/>
        <v>1165.31</v>
      </c>
      <c r="M11" s="1"/>
      <c r="N11" s="1">
        <f t="shared" si="6"/>
        <v>2365.59</v>
      </c>
      <c r="O11" s="1">
        <f t="shared" si="7"/>
        <v>262.2</v>
      </c>
    </row>
    <row r="12" spans="1:15" x14ac:dyDescent="0.25">
      <c r="A12" t="s">
        <v>97</v>
      </c>
      <c r="B12" t="s">
        <v>98</v>
      </c>
      <c r="C12" s="8">
        <v>43466</v>
      </c>
      <c r="D12">
        <v>317.89999999999998</v>
      </c>
      <c r="E12">
        <f t="shared" si="0"/>
        <v>61</v>
      </c>
      <c r="H12">
        <f t="shared" si="1"/>
        <v>61</v>
      </c>
      <c r="I12" s="1">
        <f t="shared" si="2"/>
        <v>387.84</v>
      </c>
      <c r="J12" s="1">
        <f t="shared" si="3"/>
        <v>610.84</v>
      </c>
      <c r="K12" s="1">
        <f t="shared" si="4"/>
        <v>218.16</v>
      </c>
      <c r="L12" s="1">
        <f t="shared" si="5"/>
        <v>969.6</v>
      </c>
      <c r="M12" s="1"/>
      <c r="N12" s="1">
        <f t="shared" si="6"/>
        <v>1968.2800000000002</v>
      </c>
      <c r="O12" s="1">
        <f t="shared" si="7"/>
        <v>218.16</v>
      </c>
    </row>
    <row r="13" spans="1:15" x14ac:dyDescent="0.25">
      <c r="A13" t="s">
        <v>102</v>
      </c>
      <c r="B13" t="s">
        <v>103</v>
      </c>
      <c r="C13" s="8">
        <v>43466</v>
      </c>
      <c r="D13">
        <v>382.07</v>
      </c>
      <c r="E13">
        <f t="shared" si="0"/>
        <v>61</v>
      </c>
      <c r="H13">
        <f t="shared" si="1"/>
        <v>61</v>
      </c>
      <c r="I13" s="1">
        <f t="shared" si="2"/>
        <v>466.13</v>
      </c>
      <c r="J13" s="1">
        <f t="shared" si="3"/>
        <v>734.15</v>
      </c>
      <c r="K13" s="1">
        <f t="shared" si="4"/>
        <v>262.2</v>
      </c>
      <c r="L13" s="1">
        <f t="shared" si="5"/>
        <v>1165.31</v>
      </c>
      <c r="M13" s="1"/>
      <c r="N13" s="1">
        <f t="shared" si="6"/>
        <v>2365.59</v>
      </c>
      <c r="O13" s="1">
        <f t="shared" si="7"/>
        <v>262.2</v>
      </c>
    </row>
    <row r="14" spans="1:15" x14ac:dyDescent="0.25">
      <c r="A14" t="s">
        <v>107</v>
      </c>
      <c r="B14" t="s">
        <v>108</v>
      </c>
      <c r="C14" s="8">
        <v>43466</v>
      </c>
      <c r="D14">
        <v>215.24</v>
      </c>
      <c r="E14">
        <f t="shared" si="0"/>
        <v>61</v>
      </c>
      <c r="H14">
        <f t="shared" si="1"/>
        <v>61</v>
      </c>
      <c r="I14" s="1">
        <f t="shared" si="2"/>
        <v>262.58999999999997</v>
      </c>
      <c r="J14" s="1">
        <f t="shared" si="3"/>
        <v>413.58</v>
      </c>
      <c r="K14" s="1">
        <f t="shared" si="4"/>
        <v>147.71</v>
      </c>
      <c r="L14" s="1">
        <f t="shared" si="5"/>
        <v>656.48</v>
      </c>
      <c r="M14" s="1"/>
      <c r="N14" s="1">
        <f t="shared" si="6"/>
        <v>1332.65</v>
      </c>
      <c r="O14" s="1">
        <f t="shared" si="7"/>
        <v>147.71</v>
      </c>
    </row>
    <row r="15" spans="1:15" x14ac:dyDescent="0.25">
      <c r="A15" t="s">
        <v>112</v>
      </c>
      <c r="B15" t="s">
        <v>113</v>
      </c>
      <c r="C15" s="8">
        <v>43466</v>
      </c>
      <c r="D15">
        <v>137</v>
      </c>
      <c r="E15">
        <f t="shared" si="0"/>
        <v>61</v>
      </c>
      <c r="H15">
        <f t="shared" si="1"/>
        <v>61</v>
      </c>
      <c r="I15" s="1">
        <f t="shared" si="2"/>
        <v>167.14</v>
      </c>
      <c r="J15" s="1">
        <f t="shared" si="3"/>
        <v>263.25</v>
      </c>
      <c r="K15" s="1">
        <f t="shared" si="4"/>
        <v>94.02</v>
      </c>
      <c r="L15" s="1">
        <f t="shared" si="5"/>
        <v>417.85</v>
      </c>
      <c r="M15" s="1"/>
      <c r="N15" s="1">
        <f t="shared" si="6"/>
        <v>848.24</v>
      </c>
      <c r="O15" s="1">
        <f t="shared" si="7"/>
        <v>94.02</v>
      </c>
    </row>
    <row r="16" spans="1:15" x14ac:dyDescent="0.25">
      <c r="A16" t="s">
        <v>117</v>
      </c>
      <c r="B16" t="s">
        <v>118</v>
      </c>
      <c r="C16" s="8">
        <v>43466</v>
      </c>
      <c r="D16">
        <v>215.24</v>
      </c>
      <c r="E16">
        <f t="shared" si="0"/>
        <v>61</v>
      </c>
      <c r="H16">
        <f t="shared" si="1"/>
        <v>61</v>
      </c>
      <c r="I16" s="1">
        <f t="shared" si="2"/>
        <v>262.58999999999997</v>
      </c>
      <c r="J16" s="1">
        <f t="shared" si="3"/>
        <v>413.58</v>
      </c>
      <c r="K16" s="1">
        <f t="shared" si="4"/>
        <v>147.71</v>
      </c>
      <c r="L16" s="1">
        <f t="shared" si="5"/>
        <v>656.48</v>
      </c>
      <c r="M16" s="1"/>
      <c r="N16" s="1">
        <f t="shared" si="6"/>
        <v>1332.65</v>
      </c>
      <c r="O16" s="1">
        <f t="shared" si="7"/>
        <v>147.71</v>
      </c>
    </row>
    <row r="17" spans="1:15" x14ac:dyDescent="0.25">
      <c r="A17" t="s">
        <v>122</v>
      </c>
      <c r="B17" t="s">
        <v>123</v>
      </c>
      <c r="C17" s="8">
        <v>43466</v>
      </c>
      <c r="D17">
        <v>123.5</v>
      </c>
      <c r="E17">
        <f t="shared" si="0"/>
        <v>61</v>
      </c>
      <c r="H17">
        <f t="shared" si="1"/>
        <v>61</v>
      </c>
      <c r="I17" s="1">
        <f t="shared" si="2"/>
        <v>150.66999999999999</v>
      </c>
      <c r="J17" s="1">
        <f t="shared" si="3"/>
        <v>237.31</v>
      </c>
      <c r="K17" s="1">
        <f t="shared" si="4"/>
        <v>84.75</v>
      </c>
      <c r="L17" s="1">
        <f t="shared" si="5"/>
        <v>376.68</v>
      </c>
      <c r="M17" s="1"/>
      <c r="N17" s="1">
        <f t="shared" si="6"/>
        <v>764.66000000000008</v>
      </c>
      <c r="O17" s="1">
        <f t="shared" si="7"/>
        <v>84.75</v>
      </c>
    </row>
    <row r="18" spans="1:15" x14ac:dyDescent="0.25">
      <c r="A18" t="s">
        <v>127</v>
      </c>
      <c r="B18" t="s">
        <v>128</v>
      </c>
      <c r="C18" s="8">
        <v>43466</v>
      </c>
      <c r="D18">
        <v>123.5</v>
      </c>
      <c r="E18">
        <f t="shared" si="0"/>
        <v>61</v>
      </c>
      <c r="H18">
        <f t="shared" si="1"/>
        <v>61</v>
      </c>
      <c r="I18" s="1">
        <f t="shared" si="2"/>
        <v>150.66999999999999</v>
      </c>
      <c r="J18" s="1">
        <f t="shared" si="3"/>
        <v>237.31</v>
      </c>
      <c r="K18" s="1">
        <f t="shared" si="4"/>
        <v>84.75</v>
      </c>
      <c r="L18" s="1">
        <f t="shared" si="5"/>
        <v>376.68</v>
      </c>
      <c r="M18" s="1"/>
      <c r="N18" s="1">
        <f t="shared" si="6"/>
        <v>764.66000000000008</v>
      </c>
      <c r="O18" s="1">
        <f t="shared" si="7"/>
        <v>84.75</v>
      </c>
    </row>
    <row r="19" spans="1:15" x14ac:dyDescent="0.25">
      <c r="A19" t="s">
        <v>132</v>
      </c>
      <c r="B19" t="s">
        <v>133</v>
      </c>
      <c r="C19" s="8">
        <v>43466</v>
      </c>
      <c r="D19">
        <v>123.5</v>
      </c>
      <c r="E19">
        <f t="shared" si="0"/>
        <v>61</v>
      </c>
      <c r="H19">
        <f t="shared" si="1"/>
        <v>61</v>
      </c>
      <c r="I19" s="1">
        <f t="shared" si="2"/>
        <v>150.66999999999999</v>
      </c>
      <c r="J19" s="1">
        <f t="shared" si="3"/>
        <v>237.31</v>
      </c>
      <c r="K19" s="1">
        <f t="shared" si="4"/>
        <v>84.75</v>
      </c>
      <c r="L19" s="1">
        <f t="shared" si="5"/>
        <v>376.68</v>
      </c>
      <c r="M19" s="1"/>
      <c r="N19" s="1">
        <f t="shared" si="6"/>
        <v>764.66000000000008</v>
      </c>
      <c r="O19" s="1">
        <f t="shared" si="7"/>
        <v>84.75</v>
      </c>
    </row>
    <row r="20" spans="1:15" s="36" customFormat="1" x14ac:dyDescent="0.25">
      <c r="A20" s="36" t="s">
        <v>137</v>
      </c>
      <c r="B20" s="36" t="s">
        <v>138</v>
      </c>
      <c r="C20" s="88">
        <v>43734</v>
      </c>
      <c r="D20" s="36">
        <v>123.5</v>
      </c>
      <c r="E20" s="36">
        <f t="shared" si="0"/>
        <v>61</v>
      </c>
      <c r="H20" s="36">
        <f t="shared" si="1"/>
        <v>61</v>
      </c>
      <c r="I20" s="92">
        <f t="shared" si="2"/>
        <v>150.66999999999999</v>
      </c>
      <c r="J20" s="92">
        <f t="shared" si="3"/>
        <v>237.31</v>
      </c>
      <c r="K20" s="92">
        <f t="shared" si="4"/>
        <v>84.75</v>
      </c>
      <c r="L20" s="92">
        <f t="shared" si="5"/>
        <v>376.68</v>
      </c>
      <c r="M20" s="92"/>
      <c r="N20" s="92">
        <f t="shared" si="6"/>
        <v>764.66000000000008</v>
      </c>
      <c r="O20" s="92">
        <f t="shared" si="7"/>
        <v>84.75</v>
      </c>
    </row>
    <row r="21" spans="1:15" x14ac:dyDescent="0.25">
      <c r="A21" t="s">
        <v>142</v>
      </c>
      <c r="B21" t="s">
        <v>143</v>
      </c>
      <c r="C21" s="8">
        <v>43466</v>
      </c>
      <c r="D21">
        <v>123.5</v>
      </c>
      <c r="E21">
        <f t="shared" si="0"/>
        <v>61</v>
      </c>
      <c r="H21">
        <f t="shared" si="1"/>
        <v>61</v>
      </c>
      <c r="I21" s="1">
        <f t="shared" si="2"/>
        <v>150.66999999999999</v>
      </c>
      <c r="J21" s="1">
        <f t="shared" si="3"/>
        <v>237.31</v>
      </c>
      <c r="K21" s="1">
        <f t="shared" si="4"/>
        <v>84.75</v>
      </c>
      <c r="L21" s="1">
        <f t="shared" si="5"/>
        <v>376.68</v>
      </c>
      <c r="M21" s="1"/>
      <c r="N21" s="1">
        <f t="shared" si="6"/>
        <v>764.66000000000008</v>
      </c>
      <c r="O21" s="1">
        <f t="shared" si="7"/>
        <v>84.75</v>
      </c>
    </row>
    <row r="22" spans="1:15" x14ac:dyDescent="0.25">
      <c r="A22" t="s">
        <v>147</v>
      </c>
      <c r="B22" t="s">
        <v>148</v>
      </c>
      <c r="C22" s="8">
        <v>43466</v>
      </c>
      <c r="D22">
        <v>123.5</v>
      </c>
      <c r="E22">
        <f t="shared" si="0"/>
        <v>61</v>
      </c>
      <c r="H22">
        <f t="shared" si="1"/>
        <v>61</v>
      </c>
      <c r="I22" s="1">
        <f t="shared" si="2"/>
        <v>150.66999999999999</v>
      </c>
      <c r="J22" s="1">
        <f t="shared" si="3"/>
        <v>237.31</v>
      </c>
      <c r="K22" s="1">
        <f t="shared" si="4"/>
        <v>84.75</v>
      </c>
      <c r="L22" s="1">
        <f t="shared" si="5"/>
        <v>376.68</v>
      </c>
      <c r="M22" s="1"/>
      <c r="N22" s="1">
        <f t="shared" si="6"/>
        <v>764.66000000000008</v>
      </c>
      <c r="O22" s="1">
        <f t="shared" si="7"/>
        <v>84.75</v>
      </c>
    </row>
    <row r="23" spans="1:15" x14ac:dyDescent="0.25">
      <c r="A23" t="s">
        <v>152</v>
      </c>
      <c r="B23" t="s">
        <v>153</v>
      </c>
      <c r="C23" s="8">
        <v>43466</v>
      </c>
      <c r="D23">
        <v>123.5</v>
      </c>
      <c r="E23">
        <f t="shared" si="0"/>
        <v>61</v>
      </c>
      <c r="H23">
        <f t="shared" si="1"/>
        <v>61</v>
      </c>
      <c r="I23" s="1">
        <f t="shared" si="2"/>
        <v>150.66999999999999</v>
      </c>
      <c r="J23" s="1">
        <f t="shared" si="3"/>
        <v>237.31</v>
      </c>
      <c r="K23" s="1">
        <f t="shared" si="4"/>
        <v>84.75</v>
      </c>
      <c r="L23" s="1">
        <f t="shared" si="5"/>
        <v>376.68</v>
      </c>
      <c r="M23" s="1"/>
      <c r="N23" s="1">
        <f t="shared" si="6"/>
        <v>764.66000000000008</v>
      </c>
      <c r="O23" s="1">
        <f t="shared" si="7"/>
        <v>84.75</v>
      </c>
    </row>
    <row r="24" spans="1:15" x14ac:dyDescent="0.25">
      <c r="A24" t="s">
        <v>157</v>
      </c>
      <c r="B24" t="s">
        <v>158</v>
      </c>
      <c r="C24" s="8">
        <v>43466</v>
      </c>
      <c r="D24">
        <v>123.5</v>
      </c>
      <c r="E24">
        <f t="shared" si="0"/>
        <v>61</v>
      </c>
      <c r="H24">
        <f t="shared" si="1"/>
        <v>61</v>
      </c>
      <c r="I24" s="1">
        <f t="shared" si="2"/>
        <v>150.66999999999999</v>
      </c>
      <c r="J24" s="1">
        <f t="shared" si="3"/>
        <v>237.31</v>
      </c>
      <c r="K24" s="1">
        <f t="shared" si="4"/>
        <v>84.75</v>
      </c>
      <c r="L24" s="1">
        <f t="shared" si="5"/>
        <v>376.68</v>
      </c>
      <c r="M24" s="1"/>
      <c r="N24" s="1">
        <f t="shared" si="6"/>
        <v>764.66000000000008</v>
      </c>
      <c r="O24" s="1">
        <f t="shared" si="7"/>
        <v>84.75</v>
      </c>
    </row>
    <row r="25" spans="1:15" x14ac:dyDescent="0.25">
      <c r="A25" t="s">
        <v>162</v>
      </c>
      <c r="B25" t="s">
        <v>163</v>
      </c>
      <c r="C25" s="8">
        <v>43466</v>
      </c>
      <c r="D25">
        <v>196.38</v>
      </c>
      <c r="E25">
        <f t="shared" si="0"/>
        <v>61</v>
      </c>
      <c r="H25">
        <f t="shared" si="1"/>
        <v>61</v>
      </c>
      <c r="I25" s="1">
        <f t="shared" si="2"/>
        <v>239.58</v>
      </c>
      <c r="J25" s="1">
        <f t="shared" si="3"/>
        <v>377.34</v>
      </c>
      <c r="K25" s="1">
        <f t="shared" si="4"/>
        <v>134.77000000000001</v>
      </c>
      <c r="L25" s="1">
        <f t="shared" si="5"/>
        <v>598.96</v>
      </c>
      <c r="M25" s="1"/>
      <c r="N25" s="1">
        <f t="shared" si="6"/>
        <v>1215.8800000000001</v>
      </c>
      <c r="O25" s="1">
        <f t="shared" si="7"/>
        <v>134.77000000000001</v>
      </c>
    </row>
    <row r="26" spans="1:15" x14ac:dyDescent="0.25">
      <c r="A26" t="s">
        <v>167</v>
      </c>
      <c r="B26" t="s">
        <v>168</v>
      </c>
      <c r="C26" s="8">
        <v>43466</v>
      </c>
      <c r="D26">
        <v>123.5</v>
      </c>
      <c r="E26">
        <f t="shared" si="0"/>
        <v>61</v>
      </c>
      <c r="H26">
        <f t="shared" si="1"/>
        <v>61</v>
      </c>
      <c r="I26" s="1">
        <f t="shared" si="2"/>
        <v>150.66999999999999</v>
      </c>
      <c r="J26" s="1">
        <f t="shared" si="3"/>
        <v>237.31</v>
      </c>
      <c r="K26" s="1">
        <f t="shared" si="4"/>
        <v>84.75</v>
      </c>
      <c r="L26" s="1">
        <f t="shared" si="5"/>
        <v>376.68</v>
      </c>
      <c r="M26" s="1"/>
      <c r="N26" s="1">
        <f t="shared" si="6"/>
        <v>764.66000000000008</v>
      </c>
      <c r="O26" s="1">
        <f t="shared" si="7"/>
        <v>84.75</v>
      </c>
    </row>
    <row r="27" spans="1:15" x14ac:dyDescent="0.25">
      <c r="A27" t="s">
        <v>172</v>
      </c>
      <c r="B27" t="s">
        <v>173</v>
      </c>
      <c r="C27" s="8">
        <v>43466</v>
      </c>
      <c r="D27">
        <v>123.5</v>
      </c>
      <c r="E27">
        <f t="shared" si="0"/>
        <v>61</v>
      </c>
      <c r="H27">
        <f t="shared" si="1"/>
        <v>61</v>
      </c>
      <c r="I27" s="1">
        <f t="shared" si="2"/>
        <v>150.66999999999999</v>
      </c>
      <c r="J27" s="1">
        <f t="shared" si="3"/>
        <v>237.31</v>
      </c>
      <c r="K27" s="1">
        <f t="shared" si="4"/>
        <v>84.75</v>
      </c>
      <c r="L27" s="1">
        <f t="shared" si="5"/>
        <v>376.68</v>
      </c>
      <c r="M27" s="1"/>
      <c r="N27" s="1">
        <f t="shared" si="6"/>
        <v>764.66000000000008</v>
      </c>
      <c r="O27" s="1">
        <f t="shared" si="7"/>
        <v>84.75</v>
      </c>
    </row>
    <row r="28" spans="1:15" x14ac:dyDescent="0.25">
      <c r="A28" t="s">
        <v>177</v>
      </c>
      <c r="B28" t="s">
        <v>178</v>
      </c>
      <c r="C28" s="8">
        <v>43466</v>
      </c>
      <c r="D28">
        <v>123.5</v>
      </c>
      <c r="E28">
        <f t="shared" si="0"/>
        <v>61</v>
      </c>
      <c r="H28">
        <f t="shared" si="1"/>
        <v>61</v>
      </c>
      <c r="I28" s="1">
        <f t="shared" si="2"/>
        <v>150.66999999999999</v>
      </c>
      <c r="J28" s="1">
        <f t="shared" si="3"/>
        <v>237.31</v>
      </c>
      <c r="K28" s="1">
        <f t="shared" si="4"/>
        <v>84.75</v>
      </c>
      <c r="L28" s="1">
        <f t="shared" si="5"/>
        <v>376.68</v>
      </c>
      <c r="M28" s="1"/>
      <c r="N28" s="1">
        <f t="shared" si="6"/>
        <v>764.66000000000008</v>
      </c>
      <c r="O28" s="1">
        <f t="shared" si="7"/>
        <v>84.75</v>
      </c>
    </row>
    <row r="29" spans="1:15" x14ac:dyDescent="0.25">
      <c r="A29" t="s">
        <v>182</v>
      </c>
      <c r="B29" t="s">
        <v>183</v>
      </c>
      <c r="C29" s="8">
        <v>43466</v>
      </c>
      <c r="D29">
        <v>123.5</v>
      </c>
      <c r="E29">
        <f t="shared" si="0"/>
        <v>61</v>
      </c>
      <c r="H29">
        <f t="shared" si="1"/>
        <v>61</v>
      </c>
      <c r="I29" s="1">
        <f t="shared" si="2"/>
        <v>150.66999999999999</v>
      </c>
      <c r="J29" s="1">
        <f t="shared" si="3"/>
        <v>237.31</v>
      </c>
      <c r="K29" s="1">
        <f t="shared" si="4"/>
        <v>84.75</v>
      </c>
      <c r="L29" s="1">
        <f t="shared" si="5"/>
        <v>376.68</v>
      </c>
      <c r="M29" s="1"/>
      <c r="N29" s="1">
        <f t="shared" si="6"/>
        <v>764.66000000000008</v>
      </c>
      <c r="O29" s="1">
        <f t="shared" si="7"/>
        <v>84.75</v>
      </c>
    </row>
    <row r="30" spans="1:15" x14ac:dyDescent="0.25">
      <c r="A30" t="s">
        <v>187</v>
      </c>
      <c r="B30" t="s">
        <v>188</v>
      </c>
      <c r="C30" s="8">
        <v>43466</v>
      </c>
      <c r="D30">
        <v>123.5</v>
      </c>
      <c r="E30">
        <f t="shared" si="0"/>
        <v>61</v>
      </c>
      <c r="H30">
        <f t="shared" si="1"/>
        <v>61</v>
      </c>
      <c r="I30" s="1">
        <f t="shared" si="2"/>
        <v>150.66999999999999</v>
      </c>
      <c r="J30" s="1">
        <f t="shared" si="3"/>
        <v>237.31</v>
      </c>
      <c r="K30" s="1">
        <f t="shared" si="4"/>
        <v>84.75</v>
      </c>
      <c r="L30" s="1">
        <f t="shared" si="5"/>
        <v>376.68</v>
      </c>
      <c r="M30" s="1"/>
      <c r="N30" s="1">
        <f t="shared" si="6"/>
        <v>764.66000000000008</v>
      </c>
      <c r="O30" s="1">
        <f t="shared" si="7"/>
        <v>84.75</v>
      </c>
    </row>
    <row r="31" spans="1:15" x14ac:dyDescent="0.25">
      <c r="A31" t="s">
        <v>192</v>
      </c>
      <c r="B31" t="s">
        <v>193</v>
      </c>
      <c r="C31" s="8">
        <v>43466</v>
      </c>
      <c r="D31">
        <v>123.5</v>
      </c>
      <c r="E31">
        <f t="shared" si="0"/>
        <v>61</v>
      </c>
      <c r="H31">
        <f t="shared" si="1"/>
        <v>61</v>
      </c>
      <c r="I31" s="1">
        <f t="shared" si="2"/>
        <v>150.66999999999999</v>
      </c>
      <c r="J31" s="1">
        <f t="shared" si="3"/>
        <v>237.31</v>
      </c>
      <c r="K31" s="1">
        <f t="shared" si="4"/>
        <v>84.75</v>
      </c>
      <c r="L31" s="1">
        <f t="shared" si="5"/>
        <v>376.68</v>
      </c>
      <c r="M31" s="1"/>
      <c r="N31" s="1">
        <f t="shared" si="6"/>
        <v>764.66000000000008</v>
      </c>
      <c r="O31" s="1">
        <f t="shared" si="7"/>
        <v>84.75</v>
      </c>
    </row>
    <row r="32" spans="1:15" x14ac:dyDescent="0.25">
      <c r="A32" t="s">
        <v>197</v>
      </c>
      <c r="B32" t="s">
        <v>198</v>
      </c>
      <c r="C32" s="8">
        <v>43466</v>
      </c>
      <c r="D32">
        <v>123.5</v>
      </c>
      <c r="E32">
        <f t="shared" si="0"/>
        <v>61</v>
      </c>
      <c r="H32">
        <f t="shared" si="1"/>
        <v>61</v>
      </c>
      <c r="I32" s="1">
        <f t="shared" si="2"/>
        <v>150.66999999999999</v>
      </c>
      <c r="J32" s="1">
        <f t="shared" si="3"/>
        <v>237.31</v>
      </c>
      <c r="K32" s="1">
        <f t="shared" si="4"/>
        <v>84.75</v>
      </c>
      <c r="L32" s="1">
        <f t="shared" si="5"/>
        <v>376.68</v>
      </c>
      <c r="M32" s="1"/>
      <c r="N32" s="1">
        <f t="shared" si="6"/>
        <v>764.66000000000008</v>
      </c>
      <c r="O32" s="1">
        <f t="shared" si="7"/>
        <v>84.75</v>
      </c>
    </row>
    <row r="33" spans="1:15" x14ac:dyDescent="0.25">
      <c r="A33" t="s">
        <v>202</v>
      </c>
      <c r="B33" t="s">
        <v>203</v>
      </c>
      <c r="C33" s="58">
        <v>43466</v>
      </c>
      <c r="D33">
        <v>123.5</v>
      </c>
      <c r="E33">
        <f t="shared" si="0"/>
        <v>61</v>
      </c>
      <c r="H33">
        <f t="shared" si="1"/>
        <v>61</v>
      </c>
      <c r="I33" s="1">
        <f t="shared" si="2"/>
        <v>150.66999999999999</v>
      </c>
      <c r="J33" s="1">
        <f t="shared" si="3"/>
        <v>237.31</v>
      </c>
      <c r="K33" s="1">
        <f t="shared" si="4"/>
        <v>84.75</v>
      </c>
      <c r="L33" s="1">
        <f t="shared" si="5"/>
        <v>376.68</v>
      </c>
      <c r="M33" s="1"/>
      <c r="N33" s="1">
        <f t="shared" si="6"/>
        <v>764.66000000000008</v>
      </c>
      <c r="O33" s="1">
        <f t="shared" si="7"/>
        <v>84.75</v>
      </c>
    </row>
    <row r="34" spans="1:15" x14ac:dyDescent="0.25">
      <c r="A34" t="s">
        <v>207</v>
      </c>
      <c r="B34" t="s">
        <v>208</v>
      </c>
      <c r="C34" s="58">
        <v>43466</v>
      </c>
      <c r="D34">
        <v>123.5</v>
      </c>
      <c r="E34">
        <f t="shared" si="0"/>
        <v>61</v>
      </c>
      <c r="H34">
        <f t="shared" si="1"/>
        <v>61</v>
      </c>
      <c r="I34" s="1">
        <f t="shared" si="2"/>
        <v>150.66999999999999</v>
      </c>
      <c r="J34" s="1">
        <f t="shared" si="3"/>
        <v>237.31</v>
      </c>
      <c r="K34" s="1">
        <f t="shared" si="4"/>
        <v>84.75</v>
      </c>
      <c r="L34" s="1">
        <f t="shared" si="5"/>
        <v>376.68</v>
      </c>
      <c r="M34" s="1"/>
      <c r="N34" s="1">
        <f t="shared" si="6"/>
        <v>764.66000000000008</v>
      </c>
      <c r="O34" s="1">
        <f t="shared" si="7"/>
        <v>84.75</v>
      </c>
    </row>
    <row r="35" spans="1:15" x14ac:dyDescent="0.25">
      <c r="A35" t="s">
        <v>212</v>
      </c>
      <c r="B35" t="s">
        <v>213</v>
      </c>
      <c r="C35" s="8">
        <v>43466</v>
      </c>
      <c r="D35">
        <v>123.5</v>
      </c>
      <c r="E35">
        <f t="shared" si="0"/>
        <v>61</v>
      </c>
      <c r="H35">
        <f t="shared" si="1"/>
        <v>61</v>
      </c>
      <c r="I35" s="1">
        <f t="shared" si="2"/>
        <v>150.66999999999999</v>
      </c>
      <c r="J35" s="1">
        <f t="shared" si="3"/>
        <v>237.31</v>
      </c>
      <c r="K35" s="1">
        <f t="shared" si="4"/>
        <v>84.75</v>
      </c>
      <c r="L35" s="1">
        <f t="shared" si="5"/>
        <v>376.68</v>
      </c>
      <c r="M35" s="1"/>
      <c r="N35" s="1">
        <f t="shared" si="6"/>
        <v>764.66000000000008</v>
      </c>
      <c r="O35" s="1">
        <f t="shared" si="7"/>
        <v>84.75</v>
      </c>
    </row>
    <row r="36" spans="1:15" x14ac:dyDescent="0.25">
      <c r="A36" t="s">
        <v>217</v>
      </c>
      <c r="B36" t="s">
        <v>218</v>
      </c>
      <c r="C36" s="8">
        <v>43466</v>
      </c>
      <c r="D36">
        <v>123.5</v>
      </c>
      <c r="E36">
        <f t="shared" si="0"/>
        <v>61</v>
      </c>
      <c r="H36">
        <f t="shared" si="1"/>
        <v>61</v>
      </c>
      <c r="I36" s="1">
        <f t="shared" si="2"/>
        <v>150.66999999999999</v>
      </c>
      <c r="J36" s="1">
        <f t="shared" si="3"/>
        <v>237.31</v>
      </c>
      <c r="K36" s="1">
        <f t="shared" si="4"/>
        <v>84.75</v>
      </c>
      <c r="L36" s="1">
        <f t="shared" si="5"/>
        <v>376.68</v>
      </c>
      <c r="M36" s="1"/>
      <c r="N36" s="1">
        <f t="shared" si="6"/>
        <v>764.66000000000008</v>
      </c>
      <c r="O36" s="1">
        <f t="shared" si="7"/>
        <v>84.75</v>
      </c>
    </row>
    <row r="37" spans="1:15" x14ac:dyDescent="0.25">
      <c r="A37" t="s">
        <v>222</v>
      </c>
      <c r="B37" t="s">
        <v>223</v>
      </c>
      <c r="C37" s="8">
        <v>43466</v>
      </c>
      <c r="D37">
        <v>123.5</v>
      </c>
      <c r="E37">
        <f t="shared" si="0"/>
        <v>61</v>
      </c>
      <c r="H37">
        <f t="shared" si="1"/>
        <v>61</v>
      </c>
      <c r="I37" s="1">
        <f t="shared" si="2"/>
        <v>150.66999999999999</v>
      </c>
      <c r="J37" s="1">
        <f t="shared" si="3"/>
        <v>237.31</v>
      </c>
      <c r="K37" s="1">
        <f t="shared" si="4"/>
        <v>84.75</v>
      </c>
      <c r="L37" s="1">
        <f t="shared" si="5"/>
        <v>376.68</v>
      </c>
      <c r="M37" s="1"/>
      <c r="N37" s="1">
        <f t="shared" si="6"/>
        <v>764.66000000000008</v>
      </c>
      <c r="O37" s="1">
        <f t="shared" si="7"/>
        <v>84.75</v>
      </c>
    </row>
    <row r="38" spans="1:15" x14ac:dyDescent="0.25">
      <c r="A38" t="s">
        <v>227</v>
      </c>
      <c r="B38" t="s">
        <v>228</v>
      </c>
      <c r="C38" s="8">
        <v>43466</v>
      </c>
      <c r="D38">
        <v>123.5</v>
      </c>
      <c r="E38">
        <f t="shared" si="0"/>
        <v>61</v>
      </c>
      <c r="H38">
        <f t="shared" si="1"/>
        <v>61</v>
      </c>
      <c r="I38" s="1">
        <f t="shared" si="2"/>
        <v>150.66999999999999</v>
      </c>
      <c r="J38" s="1">
        <f t="shared" si="3"/>
        <v>237.31</v>
      </c>
      <c r="K38" s="1">
        <f t="shared" si="4"/>
        <v>84.75</v>
      </c>
      <c r="L38" s="1">
        <f t="shared" si="5"/>
        <v>376.68</v>
      </c>
      <c r="M38" s="1"/>
      <c r="N38" s="1">
        <f t="shared" si="6"/>
        <v>764.66000000000008</v>
      </c>
      <c r="O38" s="1">
        <f t="shared" si="7"/>
        <v>84.75</v>
      </c>
    </row>
    <row r="39" spans="1:15" x14ac:dyDescent="0.25">
      <c r="A39" t="s">
        <v>232</v>
      </c>
      <c r="B39" t="s">
        <v>233</v>
      </c>
      <c r="C39" s="8">
        <v>43466</v>
      </c>
      <c r="D39">
        <v>123.5</v>
      </c>
      <c r="E39">
        <f t="shared" si="0"/>
        <v>61</v>
      </c>
      <c r="H39">
        <f t="shared" si="1"/>
        <v>61</v>
      </c>
      <c r="I39" s="1">
        <f t="shared" si="2"/>
        <v>150.66999999999999</v>
      </c>
      <c r="J39" s="1">
        <f t="shared" si="3"/>
        <v>237.31</v>
      </c>
      <c r="K39" s="1">
        <f t="shared" si="4"/>
        <v>84.75</v>
      </c>
      <c r="L39" s="1">
        <f t="shared" si="5"/>
        <v>376.68</v>
      </c>
      <c r="M39" s="1"/>
      <c r="N39" s="1">
        <f t="shared" si="6"/>
        <v>764.66000000000008</v>
      </c>
      <c r="O39" s="1">
        <f t="shared" si="7"/>
        <v>84.75</v>
      </c>
    </row>
    <row r="40" spans="1:15" x14ac:dyDescent="0.25">
      <c r="A40" t="s">
        <v>237</v>
      </c>
      <c r="B40" t="s">
        <v>238</v>
      </c>
      <c r="C40" s="8">
        <v>43466</v>
      </c>
      <c r="D40">
        <v>123.5</v>
      </c>
      <c r="E40">
        <f t="shared" si="0"/>
        <v>61</v>
      </c>
      <c r="H40">
        <f t="shared" si="1"/>
        <v>61</v>
      </c>
      <c r="I40" s="1">
        <f t="shared" si="2"/>
        <v>150.66999999999999</v>
      </c>
      <c r="J40" s="1">
        <f t="shared" si="3"/>
        <v>237.31</v>
      </c>
      <c r="K40" s="1">
        <f t="shared" si="4"/>
        <v>84.75</v>
      </c>
      <c r="L40" s="1">
        <f t="shared" si="5"/>
        <v>376.68</v>
      </c>
      <c r="M40" s="1"/>
      <c r="N40" s="1">
        <f t="shared" si="6"/>
        <v>764.66000000000008</v>
      </c>
      <c r="O40" s="1">
        <f t="shared" si="7"/>
        <v>84.75</v>
      </c>
    </row>
    <row r="41" spans="1:15" x14ac:dyDescent="0.25">
      <c r="A41" t="s">
        <v>242</v>
      </c>
      <c r="B41" t="s">
        <v>243</v>
      </c>
      <c r="C41" s="8">
        <v>43572</v>
      </c>
      <c r="D41">
        <v>123.5</v>
      </c>
      <c r="E41">
        <f t="shared" si="0"/>
        <v>61</v>
      </c>
      <c r="H41">
        <f t="shared" si="1"/>
        <v>61</v>
      </c>
      <c r="I41" s="1">
        <f t="shared" si="2"/>
        <v>150.66999999999999</v>
      </c>
      <c r="J41" s="1">
        <f t="shared" si="3"/>
        <v>237.31</v>
      </c>
      <c r="K41" s="1">
        <f t="shared" si="4"/>
        <v>84.75</v>
      </c>
      <c r="L41" s="1">
        <f t="shared" si="5"/>
        <v>376.68</v>
      </c>
      <c r="M41" s="1"/>
      <c r="N41" s="1">
        <f t="shared" si="6"/>
        <v>764.66000000000008</v>
      </c>
      <c r="O41" s="1">
        <f t="shared" si="7"/>
        <v>84.75</v>
      </c>
    </row>
    <row r="42" spans="1:15" x14ac:dyDescent="0.25">
      <c r="A42" t="s">
        <v>247</v>
      </c>
      <c r="B42" t="s">
        <v>248</v>
      </c>
      <c r="C42" s="8">
        <v>43466</v>
      </c>
      <c r="D42">
        <v>123.5</v>
      </c>
      <c r="E42">
        <f t="shared" si="0"/>
        <v>61</v>
      </c>
      <c r="H42">
        <f t="shared" si="1"/>
        <v>61</v>
      </c>
      <c r="I42" s="1">
        <f t="shared" si="2"/>
        <v>150.66999999999999</v>
      </c>
      <c r="J42" s="1">
        <f t="shared" si="3"/>
        <v>237.31</v>
      </c>
      <c r="K42" s="1">
        <f t="shared" si="4"/>
        <v>84.75</v>
      </c>
      <c r="L42" s="1">
        <f t="shared" si="5"/>
        <v>376.68</v>
      </c>
      <c r="M42" s="1"/>
      <c r="N42" s="1">
        <f t="shared" si="6"/>
        <v>764.66000000000008</v>
      </c>
      <c r="O42" s="1">
        <f t="shared" si="7"/>
        <v>84.75</v>
      </c>
    </row>
    <row r="43" spans="1:15" x14ac:dyDescent="0.25">
      <c r="A43" t="s">
        <v>252</v>
      </c>
      <c r="B43" t="s">
        <v>253</v>
      </c>
      <c r="C43" s="8">
        <v>43466</v>
      </c>
      <c r="D43">
        <v>123.5</v>
      </c>
      <c r="E43">
        <f t="shared" si="0"/>
        <v>61</v>
      </c>
      <c r="H43">
        <f t="shared" si="1"/>
        <v>61</v>
      </c>
      <c r="I43" s="1">
        <f t="shared" si="2"/>
        <v>150.66999999999999</v>
      </c>
      <c r="J43" s="1">
        <f t="shared" si="3"/>
        <v>237.31</v>
      </c>
      <c r="K43" s="1">
        <f t="shared" si="4"/>
        <v>84.75</v>
      </c>
      <c r="L43" s="1">
        <f t="shared" si="5"/>
        <v>376.68</v>
      </c>
      <c r="M43" s="1"/>
      <c r="N43" s="1">
        <f t="shared" si="6"/>
        <v>764.66000000000008</v>
      </c>
      <c r="O43" s="1">
        <f t="shared" si="7"/>
        <v>84.75</v>
      </c>
    </row>
    <row r="44" spans="1:15" x14ac:dyDescent="0.25">
      <c r="A44" t="s">
        <v>257</v>
      </c>
      <c r="B44" t="s">
        <v>258</v>
      </c>
      <c r="C44" s="8">
        <v>43466</v>
      </c>
      <c r="D44">
        <v>123.5</v>
      </c>
      <c r="E44">
        <f t="shared" si="0"/>
        <v>61</v>
      </c>
      <c r="H44">
        <f t="shared" si="1"/>
        <v>61</v>
      </c>
      <c r="I44" s="1">
        <f t="shared" si="2"/>
        <v>150.66999999999999</v>
      </c>
      <c r="J44" s="1">
        <f t="shared" si="3"/>
        <v>237.31</v>
      </c>
      <c r="K44" s="1">
        <f t="shared" si="4"/>
        <v>84.75</v>
      </c>
      <c r="L44" s="1">
        <f t="shared" si="5"/>
        <v>376.68</v>
      </c>
      <c r="M44" s="1"/>
      <c r="N44" s="1">
        <f t="shared" si="6"/>
        <v>764.66000000000008</v>
      </c>
      <c r="O44" s="1">
        <f t="shared" si="7"/>
        <v>84.75</v>
      </c>
    </row>
    <row r="45" spans="1:15" x14ac:dyDescent="0.25">
      <c r="A45" t="s">
        <v>262</v>
      </c>
      <c r="B45" t="s">
        <v>263</v>
      </c>
      <c r="C45" s="8">
        <v>43466</v>
      </c>
      <c r="D45">
        <v>123.5</v>
      </c>
      <c r="E45">
        <f t="shared" si="0"/>
        <v>61</v>
      </c>
      <c r="H45">
        <f t="shared" si="1"/>
        <v>61</v>
      </c>
      <c r="I45" s="1">
        <f t="shared" si="2"/>
        <v>150.66999999999999</v>
      </c>
      <c r="J45" s="1">
        <f t="shared" si="3"/>
        <v>237.31</v>
      </c>
      <c r="K45" s="1">
        <f t="shared" si="4"/>
        <v>84.75</v>
      </c>
      <c r="L45" s="1">
        <f t="shared" si="5"/>
        <v>376.68</v>
      </c>
      <c r="M45" s="1"/>
      <c r="N45" s="1">
        <f t="shared" si="6"/>
        <v>764.66000000000008</v>
      </c>
      <c r="O45" s="1">
        <f t="shared" si="7"/>
        <v>84.75</v>
      </c>
    </row>
    <row r="46" spans="1:15" x14ac:dyDescent="0.25">
      <c r="A46" t="s">
        <v>267</v>
      </c>
      <c r="B46" t="s">
        <v>268</v>
      </c>
      <c r="C46" s="8">
        <v>43466</v>
      </c>
      <c r="D46">
        <v>123.5</v>
      </c>
      <c r="E46">
        <f t="shared" si="0"/>
        <v>61</v>
      </c>
      <c r="H46">
        <f t="shared" si="1"/>
        <v>61</v>
      </c>
      <c r="I46" s="1">
        <f t="shared" si="2"/>
        <v>150.66999999999999</v>
      </c>
      <c r="J46" s="1">
        <f t="shared" si="3"/>
        <v>237.31</v>
      </c>
      <c r="K46" s="1">
        <f t="shared" si="4"/>
        <v>84.75</v>
      </c>
      <c r="L46" s="1">
        <f t="shared" si="5"/>
        <v>376.68</v>
      </c>
      <c r="M46" s="1"/>
      <c r="N46" s="1">
        <f t="shared" si="6"/>
        <v>764.66000000000008</v>
      </c>
      <c r="O46" s="1">
        <f t="shared" si="7"/>
        <v>84.75</v>
      </c>
    </row>
    <row r="47" spans="1:15" x14ac:dyDescent="0.25">
      <c r="A47" t="s">
        <v>272</v>
      </c>
      <c r="B47" t="s">
        <v>273</v>
      </c>
      <c r="C47" s="8">
        <v>43466</v>
      </c>
      <c r="D47">
        <v>123.5</v>
      </c>
      <c r="E47">
        <f t="shared" si="0"/>
        <v>61</v>
      </c>
      <c r="H47">
        <f t="shared" si="1"/>
        <v>61</v>
      </c>
      <c r="I47" s="1">
        <f t="shared" si="2"/>
        <v>150.66999999999999</v>
      </c>
      <c r="J47" s="1">
        <f t="shared" si="3"/>
        <v>237.31</v>
      </c>
      <c r="K47" s="1">
        <f t="shared" si="4"/>
        <v>84.75</v>
      </c>
      <c r="L47" s="1">
        <f t="shared" si="5"/>
        <v>376.68</v>
      </c>
      <c r="M47" s="1"/>
      <c r="N47" s="1">
        <f t="shared" si="6"/>
        <v>764.66000000000008</v>
      </c>
      <c r="O47" s="1">
        <f t="shared" si="7"/>
        <v>84.75</v>
      </c>
    </row>
    <row r="48" spans="1:15" x14ac:dyDescent="0.25">
      <c r="A48" t="s">
        <v>277</v>
      </c>
      <c r="B48" t="s">
        <v>278</v>
      </c>
      <c r="C48" s="8">
        <v>43800</v>
      </c>
      <c r="D48">
        <v>123.5</v>
      </c>
      <c r="E48">
        <f t="shared" si="0"/>
        <v>61</v>
      </c>
      <c r="H48">
        <f t="shared" si="1"/>
        <v>61</v>
      </c>
      <c r="I48" s="1">
        <f t="shared" si="2"/>
        <v>150.66999999999999</v>
      </c>
      <c r="J48" s="1">
        <f t="shared" si="3"/>
        <v>237.31</v>
      </c>
      <c r="K48" s="1">
        <f t="shared" si="4"/>
        <v>84.75</v>
      </c>
      <c r="L48" s="1">
        <f t="shared" si="5"/>
        <v>376.68</v>
      </c>
      <c r="M48" s="1"/>
      <c r="N48" s="1">
        <f t="shared" si="6"/>
        <v>764.66000000000008</v>
      </c>
      <c r="O48" s="1">
        <f t="shared" si="7"/>
        <v>84.75</v>
      </c>
    </row>
    <row r="49" spans="1:15" x14ac:dyDescent="0.25">
      <c r="A49" t="s">
        <v>282</v>
      </c>
      <c r="B49" t="s">
        <v>283</v>
      </c>
      <c r="C49" s="8">
        <v>43496</v>
      </c>
      <c r="D49">
        <v>123.5</v>
      </c>
      <c r="E49">
        <f t="shared" si="0"/>
        <v>61</v>
      </c>
      <c r="H49">
        <f t="shared" si="1"/>
        <v>61</v>
      </c>
      <c r="I49" s="1">
        <f t="shared" si="2"/>
        <v>150.66999999999999</v>
      </c>
      <c r="J49" s="1">
        <f t="shared" si="3"/>
        <v>237.31</v>
      </c>
      <c r="K49" s="1">
        <f t="shared" si="4"/>
        <v>84.75</v>
      </c>
      <c r="L49" s="1">
        <f t="shared" si="5"/>
        <v>376.68</v>
      </c>
      <c r="M49" s="1"/>
      <c r="N49" s="1">
        <f t="shared" si="6"/>
        <v>764.66000000000008</v>
      </c>
      <c r="O49" s="1">
        <f t="shared" si="7"/>
        <v>84.75</v>
      </c>
    </row>
    <row r="50" spans="1:15" x14ac:dyDescent="0.25">
      <c r="A50" t="s">
        <v>287</v>
      </c>
      <c r="B50" t="s">
        <v>288</v>
      </c>
      <c r="C50" s="8">
        <v>43497</v>
      </c>
      <c r="D50">
        <v>123.5</v>
      </c>
      <c r="E50">
        <f t="shared" si="0"/>
        <v>61</v>
      </c>
      <c r="H50">
        <f t="shared" si="1"/>
        <v>61</v>
      </c>
      <c r="I50" s="1">
        <f t="shared" si="2"/>
        <v>150.66999999999999</v>
      </c>
      <c r="J50" s="1">
        <f t="shared" si="3"/>
        <v>237.31</v>
      </c>
      <c r="K50" s="1">
        <f t="shared" si="4"/>
        <v>84.75</v>
      </c>
      <c r="L50" s="1">
        <f t="shared" si="5"/>
        <v>376.68</v>
      </c>
      <c r="M50" s="1"/>
      <c r="N50" s="1">
        <f t="shared" si="6"/>
        <v>764.66000000000008</v>
      </c>
      <c r="O50" s="1">
        <f t="shared" si="7"/>
        <v>84.75</v>
      </c>
    </row>
    <row r="51" spans="1:15" x14ac:dyDescent="0.25">
      <c r="A51" t="s">
        <v>292</v>
      </c>
      <c r="B51" t="s">
        <v>293</v>
      </c>
      <c r="C51" s="8">
        <v>43528</v>
      </c>
      <c r="D51">
        <v>329.43</v>
      </c>
      <c r="E51">
        <f t="shared" si="0"/>
        <v>61</v>
      </c>
      <c r="H51">
        <f t="shared" si="1"/>
        <v>61</v>
      </c>
      <c r="I51" s="1">
        <f t="shared" si="2"/>
        <v>401.9</v>
      </c>
      <c r="J51" s="1">
        <f t="shared" si="3"/>
        <v>633</v>
      </c>
      <c r="K51" s="1">
        <f t="shared" si="4"/>
        <v>226.07</v>
      </c>
      <c r="L51" s="1">
        <f t="shared" si="5"/>
        <v>1004.76</v>
      </c>
      <c r="M51" s="1"/>
      <c r="N51" s="1">
        <f t="shared" si="6"/>
        <v>2039.66</v>
      </c>
      <c r="O51" s="1">
        <f t="shared" si="7"/>
        <v>226.07</v>
      </c>
    </row>
    <row r="52" spans="1:15" x14ac:dyDescent="0.25">
      <c r="A52" t="s">
        <v>297</v>
      </c>
      <c r="B52" t="s">
        <v>298</v>
      </c>
      <c r="C52" s="8">
        <v>43544</v>
      </c>
      <c r="D52">
        <v>123.5</v>
      </c>
      <c r="E52">
        <f t="shared" si="0"/>
        <v>61</v>
      </c>
      <c r="H52">
        <f t="shared" si="1"/>
        <v>61</v>
      </c>
      <c r="I52" s="1">
        <f t="shared" si="2"/>
        <v>150.66999999999999</v>
      </c>
      <c r="J52" s="1">
        <f t="shared" si="3"/>
        <v>237.31</v>
      </c>
      <c r="K52" s="1">
        <f t="shared" si="4"/>
        <v>84.75</v>
      </c>
      <c r="L52" s="1">
        <f t="shared" si="5"/>
        <v>376.68</v>
      </c>
      <c r="M52" s="1"/>
      <c r="N52" s="1">
        <f t="shared" si="6"/>
        <v>764.66000000000008</v>
      </c>
      <c r="O52" s="1">
        <f t="shared" si="7"/>
        <v>84.75</v>
      </c>
    </row>
    <row r="53" spans="1:15" x14ac:dyDescent="0.25">
      <c r="A53" t="s">
        <v>302</v>
      </c>
      <c r="B53" t="s">
        <v>303</v>
      </c>
      <c r="C53" s="8">
        <v>43580</v>
      </c>
      <c r="D53">
        <v>123.5</v>
      </c>
      <c r="E53">
        <f t="shared" si="0"/>
        <v>61</v>
      </c>
      <c r="H53">
        <f t="shared" si="1"/>
        <v>61</v>
      </c>
      <c r="I53" s="1">
        <f t="shared" si="2"/>
        <v>150.66999999999999</v>
      </c>
      <c r="J53" s="1">
        <f t="shared" si="3"/>
        <v>237.31</v>
      </c>
      <c r="K53" s="1">
        <f t="shared" si="4"/>
        <v>84.75</v>
      </c>
      <c r="L53" s="1">
        <f t="shared" si="5"/>
        <v>376.68</v>
      </c>
      <c r="M53" s="1"/>
      <c r="N53" s="1">
        <f t="shared" si="6"/>
        <v>764.66000000000008</v>
      </c>
      <c r="O53" s="1">
        <f t="shared" si="7"/>
        <v>84.75</v>
      </c>
    </row>
    <row r="54" spans="1:15" x14ac:dyDescent="0.25">
      <c r="A54" t="s">
        <v>307</v>
      </c>
      <c r="B54" t="s">
        <v>308</v>
      </c>
      <c r="C54" s="8">
        <v>43592</v>
      </c>
      <c r="D54">
        <v>123.5</v>
      </c>
      <c r="E54">
        <f t="shared" si="0"/>
        <v>61</v>
      </c>
      <c r="H54">
        <f t="shared" si="1"/>
        <v>61</v>
      </c>
      <c r="I54" s="1">
        <f t="shared" si="2"/>
        <v>150.66999999999999</v>
      </c>
      <c r="J54" s="1">
        <f t="shared" si="3"/>
        <v>237.31</v>
      </c>
      <c r="K54" s="1">
        <f t="shared" si="4"/>
        <v>84.75</v>
      </c>
      <c r="L54" s="1">
        <f t="shared" si="5"/>
        <v>376.68</v>
      </c>
      <c r="M54" s="1"/>
      <c r="N54" s="1">
        <f t="shared" si="6"/>
        <v>764.66000000000008</v>
      </c>
      <c r="O54" s="1">
        <f t="shared" si="7"/>
        <v>84.75</v>
      </c>
    </row>
    <row r="55" spans="1:15" x14ac:dyDescent="0.25">
      <c r="A55" t="s">
        <v>312</v>
      </c>
      <c r="B55" t="s">
        <v>313</v>
      </c>
      <c r="C55" s="8">
        <v>43624</v>
      </c>
      <c r="D55">
        <v>123.5</v>
      </c>
      <c r="E55">
        <f t="shared" si="0"/>
        <v>61</v>
      </c>
      <c r="H55">
        <f t="shared" si="1"/>
        <v>61</v>
      </c>
      <c r="I55" s="1">
        <f t="shared" si="2"/>
        <v>150.66999999999999</v>
      </c>
      <c r="J55" s="1">
        <f t="shared" si="3"/>
        <v>237.31</v>
      </c>
      <c r="K55" s="1">
        <f t="shared" si="4"/>
        <v>84.75</v>
      </c>
      <c r="L55" s="1">
        <f t="shared" si="5"/>
        <v>376.68</v>
      </c>
      <c r="M55" s="1"/>
      <c r="N55" s="1">
        <f t="shared" si="6"/>
        <v>764.66000000000008</v>
      </c>
      <c r="O55" s="1">
        <f t="shared" si="7"/>
        <v>84.75</v>
      </c>
    </row>
    <row r="56" spans="1:15" x14ac:dyDescent="0.25">
      <c r="A56" t="s">
        <v>317</v>
      </c>
      <c r="B56" t="s">
        <v>318</v>
      </c>
      <c r="C56" s="8">
        <v>43647</v>
      </c>
      <c r="D56">
        <v>123.5</v>
      </c>
      <c r="E56">
        <f t="shared" si="0"/>
        <v>61</v>
      </c>
      <c r="H56">
        <f t="shared" si="1"/>
        <v>61</v>
      </c>
      <c r="I56" s="1">
        <f t="shared" si="2"/>
        <v>150.66999999999999</v>
      </c>
      <c r="J56" s="1">
        <f t="shared" si="3"/>
        <v>237.31</v>
      </c>
      <c r="K56" s="1">
        <f t="shared" si="4"/>
        <v>84.75</v>
      </c>
      <c r="L56" s="1">
        <f t="shared" si="5"/>
        <v>376.68</v>
      </c>
      <c r="M56" s="1"/>
      <c r="N56" s="1">
        <f t="shared" si="6"/>
        <v>764.66000000000008</v>
      </c>
      <c r="O56" s="1">
        <f t="shared" si="7"/>
        <v>84.75</v>
      </c>
    </row>
    <row r="57" spans="1:15" x14ac:dyDescent="0.25">
      <c r="A57" t="s">
        <v>322</v>
      </c>
      <c r="B57" t="s">
        <v>323</v>
      </c>
      <c r="C57" s="8">
        <v>43652</v>
      </c>
      <c r="D57">
        <v>123.5</v>
      </c>
      <c r="E57">
        <f t="shared" si="0"/>
        <v>61</v>
      </c>
      <c r="H57">
        <f t="shared" si="1"/>
        <v>61</v>
      </c>
      <c r="I57" s="1">
        <f t="shared" si="2"/>
        <v>150.66999999999999</v>
      </c>
      <c r="J57" s="1">
        <f t="shared" si="3"/>
        <v>237.31</v>
      </c>
      <c r="K57" s="1">
        <f t="shared" si="4"/>
        <v>84.75</v>
      </c>
      <c r="L57" s="1">
        <f t="shared" si="5"/>
        <v>376.68</v>
      </c>
      <c r="M57" s="1"/>
      <c r="N57" s="1">
        <f t="shared" si="6"/>
        <v>764.66000000000008</v>
      </c>
      <c r="O57" s="1">
        <f t="shared" si="7"/>
        <v>84.75</v>
      </c>
    </row>
    <row r="58" spans="1:15" x14ac:dyDescent="0.25">
      <c r="A58" t="s">
        <v>327</v>
      </c>
      <c r="B58" t="s">
        <v>328</v>
      </c>
      <c r="C58" s="8">
        <v>43733</v>
      </c>
      <c r="D58">
        <v>123.5</v>
      </c>
      <c r="E58">
        <f t="shared" si="0"/>
        <v>61</v>
      </c>
      <c r="H58">
        <f t="shared" si="1"/>
        <v>61</v>
      </c>
      <c r="I58" s="1">
        <f t="shared" si="2"/>
        <v>150.66999999999999</v>
      </c>
      <c r="J58" s="1">
        <f t="shared" si="3"/>
        <v>237.31</v>
      </c>
      <c r="K58" s="1">
        <f t="shared" si="4"/>
        <v>84.75</v>
      </c>
      <c r="L58" s="1">
        <f t="shared" si="5"/>
        <v>376.68</v>
      </c>
      <c r="M58" s="1"/>
      <c r="N58" s="1">
        <f t="shared" si="6"/>
        <v>764.66000000000008</v>
      </c>
      <c r="O58" s="1">
        <f t="shared" si="7"/>
        <v>84.75</v>
      </c>
    </row>
    <row r="59" spans="1:15" x14ac:dyDescent="0.25">
      <c r="A59" t="s">
        <v>332</v>
      </c>
      <c r="B59" t="s">
        <v>333</v>
      </c>
      <c r="C59" s="8">
        <v>43739</v>
      </c>
      <c r="D59">
        <v>123.5</v>
      </c>
      <c r="E59">
        <f t="shared" si="0"/>
        <v>61</v>
      </c>
      <c r="H59">
        <f t="shared" si="1"/>
        <v>61</v>
      </c>
      <c r="I59" s="1">
        <f t="shared" si="2"/>
        <v>150.66999999999999</v>
      </c>
      <c r="J59" s="1">
        <f t="shared" si="3"/>
        <v>237.31</v>
      </c>
      <c r="K59" s="1">
        <f t="shared" si="4"/>
        <v>84.75</v>
      </c>
      <c r="L59" s="1">
        <f t="shared" si="5"/>
        <v>376.68</v>
      </c>
      <c r="M59" s="1"/>
      <c r="N59" s="1">
        <f t="shared" si="6"/>
        <v>764.66000000000008</v>
      </c>
      <c r="O59" s="1">
        <f t="shared" si="7"/>
        <v>84.75</v>
      </c>
    </row>
    <row r="60" spans="1:15" x14ac:dyDescent="0.25">
      <c r="A60" t="s">
        <v>337</v>
      </c>
      <c r="B60" t="s">
        <v>338</v>
      </c>
      <c r="C60" s="8">
        <v>43754</v>
      </c>
      <c r="D60">
        <v>123.5</v>
      </c>
      <c r="E60">
        <f t="shared" si="0"/>
        <v>61</v>
      </c>
      <c r="H60">
        <f t="shared" si="1"/>
        <v>61</v>
      </c>
      <c r="I60" s="1">
        <f t="shared" si="2"/>
        <v>150.66999999999999</v>
      </c>
      <c r="J60" s="1">
        <f t="shared" si="3"/>
        <v>237.31</v>
      </c>
      <c r="K60" s="1">
        <f t="shared" si="4"/>
        <v>84.75</v>
      </c>
      <c r="L60" s="1">
        <f t="shared" si="5"/>
        <v>376.68</v>
      </c>
      <c r="M60" s="1"/>
      <c r="N60" s="1">
        <f t="shared" si="6"/>
        <v>764.66000000000008</v>
      </c>
      <c r="O60" s="1">
        <f t="shared" si="7"/>
        <v>84.75</v>
      </c>
    </row>
    <row r="61" spans="1:15" x14ac:dyDescent="0.25">
      <c r="A61" t="s">
        <v>492</v>
      </c>
      <c r="B61" t="s">
        <v>493</v>
      </c>
      <c r="C61" s="8">
        <v>43800</v>
      </c>
      <c r="D61">
        <v>123.5</v>
      </c>
      <c r="E61">
        <v>61</v>
      </c>
      <c r="H61">
        <v>61</v>
      </c>
      <c r="I61" s="1">
        <f>ROUND((D61*I$6)*(E61-F61),2)</f>
        <v>150.66999999999999</v>
      </c>
      <c r="J61" s="1">
        <f>ROUND((D61*J$6)*H61,2)</f>
        <v>237.31</v>
      </c>
      <c r="K61" s="1">
        <f>ROUND((D61*K$6)*H61,2)</f>
        <v>84.75</v>
      </c>
      <c r="L61" s="1">
        <f>ROUND((D61*L$6)*(H61-F61),2)</f>
        <v>376.68</v>
      </c>
      <c r="M61" s="1"/>
      <c r="N61" s="1">
        <f>SUMIF($I$7:$M$7,$N$7,I61:M61)</f>
        <v>764.66000000000008</v>
      </c>
      <c r="O61" s="1">
        <f>SUMIF($I$7:$M$7,$O$7,I61:M61)</f>
        <v>84.75</v>
      </c>
    </row>
    <row r="62" spans="1:15" x14ac:dyDescent="0.25">
      <c r="A62" t="s">
        <v>497</v>
      </c>
      <c r="B62" t="s">
        <v>498</v>
      </c>
      <c r="C62" s="8">
        <v>43800</v>
      </c>
      <c r="D62">
        <v>123.5</v>
      </c>
      <c r="E62">
        <v>61</v>
      </c>
      <c r="H62">
        <v>61</v>
      </c>
      <c r="I62" s="1">
        <f>ROUND((D62*I$6)*(E62-F62),2)</f>
        <v>150.66999999999999</v>
      </c>
      <c r="J62" s="1">
        <f>ROUND((D62*J$6)*H62,2)</f>
        <v>237.31</v>
      </c>
      <c r="K62" s="1">
        <f>ROUND((D62*K$6)*H62,2)</f>
        <v>84.75</v>
      </c>
      <c r="L62" s="1">
        <f>ROUND((D62*L$6)*(H62-F62),2)</f>
        <v>376.68</v>
      </c>
      <c r="M62" s="1"/>
      <c r="N62" s="1">
        <f>SUMIF($I$7:$M$7,$N$7,I62:M62)</f>
        <v>764.66000000000008</v>
      </c>
      <c r="O62" s="1">
        <f>SUMIF($I$7:$M$7,$O$7,I62:M62)</f>
        <v>84.75</v>
      </c>
    </row>
    <row r="63" spans="1:15" x14ac:dyDescent="0.25">
      <c r="C63" s="8"/>
      <c r="I63" s="1"/>
      <c r="J63" s="1"/>
      <c r="K63" s="1"/>
      <c r="L63" s="1"/>
      <c r="M63" s="1"/>
      <c r="N63" s="1"/>
      <c r="O63" s="1"/>
    </row>
    <row r="64" spans="1:15" x14ac:dyDescent="0.25">
      <c r="C64" s="8"/>
      <c r="I64" s="1"/>
      <c r="J64" s="1"/>
      <c r="K64" s="1"/>
      <c r="L64" s="1"/>
      <c r="M64" s="1"/>
      <c r="N64" s="1"/>
      <c r="O64" s="1"/>
    </row>
    <row r="65" spans="3:15" x14ac:dyDescent="0.25">
      <c r="C65" s="8"/>
      <c r="I65" s="1"/>
      <c r="J65" s="1"/>
      <c r="K65" s="1"/>
      <c r="L65" s="1"/>
      <c r="M65" s="1"/>
      <c r="N65" s="1"/>
      <c r="O65" s="1"/>
    </row>
    <row r="66" spans="3:15" x14ac:dyDescent="0.25">
      <c r="C66" s="8"/>
      <c r="I66" s="1"/>
      <c r="J66" s="1"/>
      <c r="K66" s="1"/>
      <c r="L66" s="1"/>
      <c r="M66" s="1"/>
      <c r="N66" s="1"/>
      <c r="O66" s="1"/>
    </row>
    <row r="67" spans="3:15" x14ac:dyDescent="0.25">
      <c r="E67" s="138" t="s">
        <v>362</v>
      </c>
      <c r="F67" s="138"/>
      <c r="G67" s="138"/>
      <c r="H67" s="138"/>
      <c r="I67" s="53">
        <f t="shared" ref="I67:O67" si="8">SUM(I8:I60)</f>
        <v>10335.680000000002</v>
      </c>
      <c r="J67" s="53">
        <f t="shared" si="8"/>
        <v>16278.889999999989</v>
      </c>
      <c r="K67" s="53">
        <f t="shared" si="8"/>
        <v>5813.75</v>
      </c>
      <c r="L67" s="53">
        <f t="shared" si="8"/>
        <v>25839.420000000009</v>
      </c>
      <c r="M67" s="53">
        <f t="shared" si="8"/>
        <v>0</v>
      </c>
      <c r="N67" s="53">
        <f t="shared" si="8"/>
        <v>52453.990000000085</v>
      </c>
      <c r="O67" s="53">
        <f t="shared" si="8"/>
        <v>5813.75</v>
      </c>
    </row>
    <row r="68" spans="3:15" x14ac:dyDescent="0.25">
      <c r="O68" s="3"/>
    </row>
    <row r="71" spans="3:15" x14ac:dyDescent="0.25">
      <c r="I71" s="54" t="s">
        <v>364</v>
      </c>
      <c r="J71" s="54"/>
      <c r="K71" s="54" t="s">
        <v>3</v>
      </c>
      <c r="L71" s="54" t="s">
        <v>363</v>
      </c>
    </row>
    <row r="72" spans="3:15" x14ac:dyDescent="0.25">
      <c r="I72" s="54" t="s">
        <v>365</v>
      </c>
    </row>
    <row r="73" spans="3:15" x14ac:dyDescent="0.25">
      <c r="I73" t="s">
        <v>366</v>
      </c>
    </row>
    <row r="74" spans="3:15" x14ac:dyDescent="0.25">
      <c r="I74" t="s">
        <v>373</v>
      </c>
      <c r="K74" s="3">
        <f>I67</f>
        <v>10335.680000000002</v>
      </c>
    </row>
    <row r="75" spans="3:15" x14ac:dyDescent="0.25">
      <c r="I75" t="s">
        <v>374</v>
      </c>
      <c r="K75" s="3">
        <f>J67</f>
        <v>16278.889999999989</v>
      </c>
    </row>
    <row r="76" spans="3:15" x14ac:dyDescent="0.25">
      <c r="I76" t="s">
        <v>14</v>
      </c>
      <c r="K76" s="3">
        <f>L67</f>
        <v>25839.420000000009</v>
      </c>
    </row>
    <row r="77" spans="3:15" x14ac:dyDescent="0.25">
      <c r="I77" t="s">
        <v>367</v>
      </c>
    </row>
    <row r="78" spans="3:15" x14ac:dyDescent="0.25">
      <c r="I78" t="s">
        <v>375</v>
      </c>
      <c r="K78" s="3">
        <f>K67</f>
        <v>5813.75</v>
      </c>
    </row>
    <row r="79" spans="3:15" x14ac:dyDescent="0.25">
      <c r="I79" t="s">
        <v>377</v>
      </c>
      <c r="K79" s="3">
        <f>M67</f>
        <v>0</v>
      </c>
    </row>
    <row r="80" spans="3:15" x14ac:dyDescent="0.25">
      <c r="J80" t="s">
        <v>370</v>
      </c>
      <c r="K80" s="9"/>
      <c r="L80" s="59">
        <f>K74+K75+K76+K78+K79</f>
        <v>58267.740000000005</v>
      </c>
    </row>
    <row r="81" spans="11:12" x14ac:dyDescent="0.25">
      <c r="K81" s="3">
        <f>SUM(K74:K79)</f>
        <v>58267.740000000005</v>
      </c>
      <c r="L81" s="3">
        <f>SUM(L78:L80)</f>
        <v>58267.740000000005</v>
      </c>
    </row>
  </sheetData>
  <mergeCells count="3">
    <mergeCell ref="E67:H67"/>
    <mergeCell ref="J5:K5"/>
    <mergeCell ref="N5:O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/>
  <dimension ref="A1:AC36"/>
  <sheetViews>
    <sheetView workbookViewId="0">
      <selection activeCell="A2" sqref="A2"/>
    </sheetView>
  </sheetViews>
  <sheetFormatPr baseColWidth="10" defaultRowHeight="15" x14ac:dyDescent="0.25"/>
  <cols>
    <col min="1" max="1" width="16.42578125" customWidth="1"/>
    <col min="2" max="4" width="15" customWidth="1"/>
    <col min="7" max="10" width="15.140625" customWidth="1"/>
    <col min="13" max="16" width="16.7109375" customWidth="1"/>
    <col min="19" max="23" width="16.5703125" customWidth="1"/>
    <col min="26" max="29" width="15.42578125" customWidth="1"/>
  </cols>
  <sheetData>
    <row r="1" spans="1:29" x14ac:dyDescent="0.25">
      <c r="A1" t="s">
        <v>544</v>
      </c>
    </row>
    <row r="4" spans="1:29" x14ac:dyDescent="0.25">
      <c r="A4" s="60" t="s">
        <v>385</v>
      </c>
      <c r="F4" s="60" t="s">
        <v>392</v>
      </c>
      <c r="K4" s="60" t="s">
        <v>394</v>
      </c>
      <c r="P4" s="60" t="s">
        <v>395</v>
      </c>
      <c r="U4" s="60" t="s">
        <v>393</v>
      </c>
      <c r="Z4" s="60" t="s">
        <v>397</v>
      </c>
    </row>
    <row r="5" spans="1:29" ht="15.75" thickBot="1" x14ac:dyDescent="0.3">
      <c r="A5" s="144" t="s">
        <v>403</v>
      </c>
      <c r="B5" s="144"/>
      <c r="C5" s="144"/>
      <c r="D5" s="144"/>
      <c r="F5" s="144" t="s">
        <v>402</v>
      </c>
      <c r="G5" s="144"/>
      <c r="H5" s="144"/>
      <c r="I5" s="144"/>
      <c r="K5" s="144" t="s">
        <v>401</v>
      </c>
      <c r="L5" s="144"/>
      <c r="M5" s="144"/>
      <c r="N5" s="144"/>
      <c r="P5" s="144" t="s">
        <v>400</v>
      </c>
      <c r="Q5" s="144"/>
      <c r="R5" s="144"/>
      <c r="S5" s="144"/>
      <c r="U5" s="144" t="s">
        <v>399</v>
      </c>
      <c r="V5" s="144"/>
      <c r="W5" s="144"/>
      <c r="X5" s="144"/>
      <c r="Z5" s="144" t="s">
        <v>398</v>
      </c>
      <c r="AA5" s="144"/>
      <c r="AB5" s="144"/>
      <c r="AC5" s="144"/>
    </row>
    <row r="6" spans="1:29" ht="105" x14ac:dyDescent="0.25">
      <c r="A6" s="66" t="s">
        <v>396</v>
      </c>
      <c r="B6" s="67" t="s">
        <v>386</v>
      </c>
      <c r="C6" s="67" t="s">
        <v>387</v>
      </c>
      <c r="D6" s="68" t="s">
        <v>388</v>
      </c>
      <c r="F6" s="66" t="s">
        <v>396</v>
      </c>
      <c r="G6" s="67" t="s">
        <v>386</v>
      </c>
      <c r="H6" s="67" t="s">
        <v>387</v>
      </c>
      <c r="I6" s="68" t="s">
        <v>388</v>
      </c>
      <c r="K6" s="66" t="s">
        <v>396</v>
      </c>
      <c r="L6" s="67" t="s">
        <v>386</v>
      </c>
      <c r="M6" s="67" t="s">
        <v>387</v>
      </c>
      <c r="N6" s="68" t="s">
        <v>388</v>
      </c>
      <c r="O6" s="62"/>
      <c r="P6" s="66" t="s">
        <v>396</v>
      </c>
      <c r="Q6" s="67" t="s">
        <v>386</v>
      </c>
      <c r="R6" s="67" t="s">
        <v>387</v>
      </c>
      <c r="S6" s="68" t="s">
        <v>388</v>
      </c>
      <c r="U6" s="66" t="s">
        <v>396</v>
      </c>
      <c r="V6" s="67" t="s">
        <v>386</v>
      </c>
      <c r="W6" s="67" t="s">
        <v>387</v>
      </c>
      <c r="X6" s="68" t="s">
        <v>388</v>
      </c>
      <c r="Z6" s="66" t="s">
        <v>396</v>
      </c>
      <c r="AA6" s="67" t="s">
        <v>386</v>
      </c>
      <c r="AB6" s="67" t="s">
        <v>387</v>
      </c>
      <c r="AC6" s="68" t="s">
        <v>388</v>
      </c>
    </row>
    <row r="7" spans="1:29" x14ac:dyDescent="0.25">
      <c r="A7" s="69" t="s">
        <v>389</v>
      </c>
      <c r="B7" s="63" t="s">
        <v>389</v>
      </c>
      <c r="C7" s="63" t="s">
        <v>389</v>
      </c>
      <c r="D7" s="70" t="s">
        <v>390</v>
      </c>
      <c r="F7" s="69" t="s">
        <v>389</v>
      </c>
      <c r="G7" s="63" t="s">
        <v>389</v>
      </c>
      <c r="H7" s="63" t="s">
        <v>389</v>
      </c>
      <c r="I7" s="70" t="s">
        <v>390</v>
      </c>
      <c r="K7" s="69" t="s">
        <v>389</v>
      </c>
      <c r="L7" s="63" t="s">
        <v>389</v>
      </c>
      <c r="M7" s="63" t="s">
        <v>389</v>
      </c>
      <c r="N7" s="70" t="s">
        <v>390</v>
      </c>
      <c r="O7" s="62"/>
      <c r="P7" s="69" t="s">
        <v>389</v>
      </c>
      <c r="Q7" s="63" t="s">
        <v>389</v>
      </c>
      <c r="R7" s="63" t="s">
        <v>389</v>
      </c>
      <c r="S7" s="70" t="s">
        <v>390</v>
      </c>
      <c r="U7" s="69" t="s">
        <v>389</v>
      </c>
      <c r="V7" s="63" t="s">
        <v>389</v>
      </c>
      <c r="W7" s="63" t="s">
        <v>389</v>
      </c>
      <c r="X7" s="70" t="s">
        <v>390</v>
      </c>
      <c r="Z7" s="69" t="s">
        <v>389</v>
      </c>
      <c r="AA7" s="63" t="s">
        <v>389</v>
      </c>
      <c r="AB7" s="63" t="s">
        <v>389</v>
      </c>
      <c r="AC7" s="70" t="s">
        <v>390</v>
      </c>
    </row>
    <row r="8" spans="1:29" x14ac:dyDescent="0.25">
      <c r="A8" s="71">
        <v>0.01</v>
      </c>
      <c r="B8" s="64">
        <v>19.03</v>
      </c>
      <c r="C8" s="64">
        <v>0</v>
      </c>
      <c r="D8" s="72">
        <v>1.92</v>
      </c>
      <c r="F8" s="71">
        <v>0.01</v>
      </c>
      <c r="G8" s="64">
        <v>133.21</v>
      </c>
      <c r="H8" s="64">
        <v>0</v>
      </c>
      <c r="I8" s="72">
        <v>1.92</v>
      </c>
      <c r="K8" s="71">
        <v>0.01</v>
      </c>
      <c r="L8" s="64">
        <v>190.3</v>
      </c>
      <c r="M8" s="64">
        <v>0</v>
      </c>
      <c r="N8" s="72">
        <v>1.92</v>
      </c>
      <c r="O8" s="61"/>
      <c r="P8" s="71">
        <v>0.01</v>
      </c>
      <c r="Q8" s="64">
        <v>285.45</v>
      </c>
      <c r="R8" s="64">
        <v>0</v>
      </c>
      <c r="S8" s="72">
        <v>1.92</v>
      </c>
      <c r="U8" s="71">
        <v>0.01</v>
      </c>
      <c r="V8" s="64">
        <v>578.52</v>
      </c>
      <c r="W8" s="64">
        <v>0</v>
      </c>
      <c r="X8" s="72">
        <v>1.92</v>
      </c>
      <c r="Z8" s="71">
        <v>0.01</v>
      </c>
      <c r="AA8" s="64">
        <v>6942.2</v>
      </c>
      <c r="AB8" s="64">
        <v>0</v>
      </c>
      <c r="AC8" s="72">
        <v>1.92</v>
      </c>
    </row>
    <row r="9" spans="1:29" x14ac:dyDescent="0.25">
      <c r="A9" s="71">
        <v>19.04</v>
      </c>
      <c r="B9" s="64">
        <v>161.52000000000001</v>
      </c>
      <c r="C9" s="64">
        <v>0.37</v>
      </c>
      <c r="D9" s="72">
        <v>6.4</v>
      </c>
      <c r="F9" s="71">
        <v>133.22</v>
      </c>
      <c r="G9" s="64">
        <v>1130.6400000000001</v>
      </c>
      <c r="H9" s="64">
        <v>2.59</v>
      </c>
      <c r="I9" s="72">
        <v>6.4</v>
      </c>
      <c r="K9" s="71">
        <v>190.31</v>
      </c>
      <c r="L9" s="64">
        <v>1615.2</v>
      </c>
      <c r="M9" s="64">
        <v>3.7</v>
      </c>
      <c r="N9" s="72">
        <v>6.4</v>
      </c>
      <c r="O9" s="61"/>
      <c r="P9" s="71">
        <v>285.45999999999998</v>
      </c>
      <c r="Q9" s="64">
        <v>2422.8000000000002</v>
      </c>
      <c r="R9" s="64">
        <v>5.55</v>
      </c>
      <c r="S9" s="72">
        <v>6.4</v>
      </c>
      <c r="U9" s="71">
        <v>578.53</v>
      </c>
      <c r="V9" s="64">
        <v>4910.18</v>
      </c>
      <c r="W9" s="64">
        <v>11.11</v>
      </c>
      <c r="X9" s="72">
        <v>6.4</v>
      </c>
      <c r="Z9" s="71">
        <v>6942.21</v>
      </c>
      <c r="AA9" s="64">
        <v>58922.16</v>
      </c>
      <c r="AB9" s="64">
        <v>133.28</v>
      </c>
      <c r="AC9" s="72">
        <v>6.4</v>
      </c>
    </row>
    <row r="10" spans="1:29" x14ac:dyDescent="0.25">
      <c r="A10" s="71">
        <v>161.53</v>
      </c>
      <c r="B10" s="64">
        <v>283.86</v>
      </c>
      <c r="C10" s="64">
        <v>9.48</v>
      </c>
      <c r="D10" s="72">
        <v>10.88</v>
      </c>
      <c r="F10" s="71">
        <v>1130.6500000000001</v>
      </c>
      <c r="G10" s="64">
        <v>1987.02</v>
      </c>
      <c r="H10" s="64">
        <v>66.36</v>
      </c>
      <c r="I10" s="72">
        <v>10.88</v>
      </c>
      <c r="K10" s="71">
        <v>1615.21</v>
      </c>
      <c r="L10" s="64">
        <v>2838.6</v>
      </c>
      <c r="M10" s="64">
        <v>94.8</v>
      </c>
      <c r="N10" s="72">
        <v>10.88</v>
      </c>
      <c r="O10" s="61"/>
      <c r="P10" s="71">
        <v>2422.81</v>
      </c>
      <c r="Q10" s="64">
        <v>4257.8999999999996</v>
      </c>
      <c r="R10" s="64">
        <v>142.19999999999999</v>
      </c>
      <c r="S10" s="72">
        <v>10.88</v>
      </c>
      <c r="U10" s="71">
        <v>4910.1899999999996</v>
      </c>
      <c r="V10" s="64">
        <v>8629.2000000000007</v>
      </c>
      <c r="W10" s="64">
        <v>288.33</v>
      </c>
      <c r="X10" s="72">
        <v>10.88</v>
      </c>
      <c r="Z10" s="71">
        <v>58922.17</v>
      </c>
      <c r="AA10" s="64">
        <v>103550.44</v>
      </c>
      <c r="AB10" s="64">
        <v>3460.01</v>
      </c>
      <c r="AC10" s="72">
        <v>10.88</v>
      </c>
    </row>
    <row r="11" spans="1:29" x14ac:dyDescent="0.25">
      <c r="A11" s="71">
        <v>283.87</v>
      </c>
      <c r="B11" s="64">
        <v>329.97</v>
      </c>
      <c r="C11" s="64">
        <v>22.79</v>
      </c>
      <c r="D11" s="72">
        <v>16</v>
      </c>
      <c r="F11" s="71">
        <v>1987.03</v>
      </c>
      <c r="G11" s="64">
        <v>2309.79</v>
      </c>
      <c r="H11" s="64">
        <v>159.53</v>
      </c>
      <c r="I11" s="72">
        <v>16</v>
      </c>
      <c r="K11" s="71">
        <v>2838.61</v>
      </c>
      <c r="L11" s="64">
        <v>3299.7</v>
      </c>
      <c r="M11" s="64">
        <v>227.9</v>
      </c>
      <c r="N11" s="72">
        <v>16</v>
      </c>
      <c r="O11" s="61"/>
      <c r="P11" s="71">
        <v>4257.91</v>
      </c>
      <c r="Q11" s="64">
        <v>4949.55</v>
      </c>
      <c r="R11" s="64">
        <v>341.85</v>
      </c>
      <c r="S11" s="72">
        <v>16</v>
      </c>
      <c r="U11" s="71">
        <v>8629.2099999999991</v>
      </c>
      <c r="V11" s="64">
        <v>10031.07</v>
      </c>
      <c r="W11" s="64">
        <v>692.96</v>
      </c>
      <c r="X11" s="72">
        <v>16</v>
      </c>
      <c r="Z11" s="71">
        <v>103550.45</v>
      </c>
      <c r="AA11" s="64">
        <v>120372.83</v>
      </c>
      <c r="AB11" s="64">
        <v>8315.57</v>
      </c>
      <c r="AC11" s="72">
        <v>16</v>
      </c>
    </row>
    <row r="12" spans="1:29" x14ac:dyDescent="0.25">
      <c r="A12" s="71">
        <v>329.98</v>
      </c>
      <c r="B12" s="64">
        <v>395.06</v>
      </c>
      <c r="C12" s="64">
        <v>30.17</v>
      </c>
      <c r="D12" s="72">
        <v>17.920000000000002</v>
      </c>
      <c r="F12" s="71">
        <v>2309.8000000000002</v>
      </c>
      <c r="G12" s="64">
        <v>2765.42</v>
      </c>
      <c r="H12" s="64">
        <v>211.19</v>
      </c>
      <c r="I12" s="72">
        <v>17.920000000000002</v>
      </c>
      <c r="K12" s="71">
        <v>3299.71</v>
      </c>
      <c r="L12" s="64">
        <v>3950.6</v>
      </c>
      <c r="M12" s="64">
        <v>301.7</v>
      </c>
      <c r="N12" s="72">
        <v>17.920000000000002</v>
      </c>
      <c r="O12" s="61"/>
      <c r="P12" s="71">
        <v>4949.5600000000004</v>
      </c>
      <c r="Q12" s="64">
        <v>5925.9</v>
      </c>
      <c r="R12" s="64">
        <v>452.55</v>
      </c>
      <c r="S12" s="72">
        <v>17.920000000000002</v>
      </c>
      <c r="U12" s="71">
        <v>10031.08</v>
      </c>
      <c r="V12" s="64">
        <v>12009.94</v>
      </c>
      <c r="W12" s="64">
        <v>917.26</v>
      </c>
      <c r="X12" s="72">
        <v>17.920000000000002</v>
      </c>
      <c r="Z12" s="71">
        <v>120372.84</v>
      </c>
      <c r="AA12" s="64">
        <v>144119.23000000001</v>
      </c>
      <c r="AB12" s="64">
        <v>11007.14</v>
      </c>
      <c r="AC12" s="72">
        <v>17.920000000000002</v>
      </c>
    </row>
    <row r="13" spans="1:29" x14ac:dyDescent="0.25">
      <c r="A13" s="71">
        <v>395.07</v>
      </c>
      <c r="B13" s="64">
        <v>796.79</v>
      </c>
      <c r="C13" s="64">
        <v>41.84</v>
      </c>
      <c r="D13" s="72">
        <v>21.36</v>
      </c>
      <c r="F13" s="71">
        <v>2765.43</v>
      </c>
      <c r="G13" s="64">
        <v>5577.53</v>
      </c>
      <c r="H13" s="64">
        <v>292.88</v>
      </c>
      <c r="I13" s="72">
        <v>21.36</v>
      </c>
      <c r="K13" s="71">
        <v>3950.61</v>
      </c>
      <c r="L13" s="64">
        <v>7967.9</v>
      </c>
      <c r="M13" s="64">
        <v>418.4</v>
      </c>
      <c r="N13" s="72">
        <v>21.36</v>
      </c>
      <c r="O13" s="61"/>
      <c r="P13" s="71">
        <v>5925.91</v>
      </c>
      <c r="Q13" s="64">
        <v>11951.85</v>
      </c>
      <c r="R13" s="64">
        <v>627.6</v>
      </c>
      <c r="S13" s="72">
        <v>21.36</v>
      </c>
      <c r="U13" s="71">
        <v>12009.95</v>
      </c>
      <c r="V13" s="64">
        <v>24222.31</v>
      </c>
      <c r="W13" s="64">
        <v>1271.8699999999999</v>
      </c>
      <c r="X13" s="72">
        <v>21.36</v>
      </c>
      <c r="Z13" s="71">
        <v>144119.24</v>
      </c>
      <c r="AA13" s="64">
        <v>290667.75</v>
      </c>
      <c r="AB13" s="64">
        <v>15262.49</v>
      </c>
      <c r="AC13" s="72">
        <v>21.36</v>
      </c>
    </row>
    <row r="14" spans="1:29" x14ac:dyDescent="0.25">
      <c r="A14" s="71">
        <v>796.8</v>
      </c>
      <c r="B14" s="65">
        <v>1255.8499999999999</v>
      </c>
      <c r="C14" s="64">
        <v>127.65</v>
      </c>
      <c r="D14" s="72">
        <v>23.52</v>
      </c>
      <c r="F14" s="71">
        <v>5577.54</v>
      </c>
      <c r="G14" s="65">
        <v>8790.9500000000007</v>
      </c>
      <c r="H14" s="64">
        <v>893.55</v>
      </c>
      <c r="I14" s="72">
        <v>23.52</v>
      </c>
      <c r="K14" s="71">
        <v>7967.91</v>
      </c>
      <c r="L14" s="65">
        <v>12558.5</v>
      </c>
      <c r="M14" s="64">
        <v>1276.5</v>
      </c>
      <c r="N14" s="72">
        <v>23.52</v>
      </c>
      <c r="O14" s="61"/>
      <c r="P14" s="71">
        <v>11951.86</v>
      </c>
      <c r="Q14" s="65">
        <v>18837.75</v>
      </c>
      <c r="R14" s="64">
        <v>1914.75</v>
      </c>
      <c r="S14" s="72">
        <v>23.52</v>
      </c>
      <c r="U14" s="71">
        <v>24222.32</v>
      </c>
      <c r="V14" s="65">
        <v>38177.69</v>
      </c>
      <c r="W14" s="64">
        <v>3880.44</v>
      </c>
      <c r="X14" s="72">
        <v>23.52</v>
      </c>
      <c r="Z14" s="71">
        <v>290667.76</v>
      </c>
      <c r="AA14" s="65">
        <v>458132.29</v>
      </c>
      <c r="AB14" s="64">
        <v>46565.26</v>
      </c>
      <c r="AC14" s="72">
        <v>23.52</v>
      </c>
    </row>
    <row r="15" spans="1:29" x14ac:dyDescent="0.25">
      <c r="A15" s="73">
        <v>1255.8599999999999</v>
      </c>
      <c r="B15" s="65">
        <v>2397.62</v>
      </c>
      <c r="C15" s="64">
        <v>235.62</v>
      </c>
      <c r="D15" s="72">
        <v>30</v>
      </c>
      <c r="F15" s="73">
        <v>8790.9599999999991</v>
      </c>
      <c r="G15" s="65">
        <v>16783.34</v>
      </c>
      <c r="H15" s="64">
        <v>1649.34</v>
      </c>
      <c r="I15" s="72">
        <v>30</v>
      </c>
      <c r="K15" s="73">
        <v>12558.51</v>
      </c>
      <c r="L15" s="65">
        <v>23976.2</v>
      </c>
      <c r="M15" s="64">
        <v>2356.1999999999998</v>
      </c>
      <c r="N15" s="72">
        <v>30</v>
      </c>
      <c r="O15" s="61"/>
      <c r="P15" s="73">
        <v>18837.759999999998</v>
      </c>
      <c r="Q15" s="65">
        <v>35964.300000000003</v>
      </c>
      <c r="R15" s="64">
        <v>3534.3</v>
      </c>
      <c r="S15" s="72">
        <v>30</v>
      </c>
      <c r="U15" s="73">
        <v>38177.699999999997</v>
      </c>
      <c r="V15" s="65">
        <v>72887.5</v>
      </c>
      <c r="W15" s="64">
        <v>7162.74</v>
      </c>
      <c r="X15" s="72">
        <v>30</v>
      </c>
      <c r="Z15" s="73">
        <v>458132.3</v>
      </c>
      <c r="AA15" s="65">
        <v>874650</v>
      </c>
      <c r="AB15" s="64">
        <v>85952.92</v>
      </c>
      <c r="AC15" s="72">
        <v>30</v>
      </c>
    </row>
    <row r="16" spans="1:29" x14ac:dyDescent="0.25">
      <c r="A16" s="73">
        <v>2397.63</v>
      </c>
      <c r="B16" s="65">
        <v>3196.82</v>
      </c>
      <c r="C16" s="64">
        <v>578.15</v>
      </c>
      <c r="D16" s="72">
        <v>32</v>
      </c>
      <c r="F16" s="73">
        <v>16783.349999999999</v>
      </c>
      <c r="G16" s="65">
        <v>22377.74</v>
      </c>
      <c r="H16" s="64">
        <v>4047.05</v>
      </c>
      <c r="I16" s="72">
        <v>32</v>
      </c>
      <c r="K16" s="73">
        <v>23976.21</v>
      </c>
      <c r="L16" s="65">
        <v>31968.2</v>
      </c>
      <c r="M16" s="64">
        <v>5781.5</v>
      </c>
      <c r="N16" s="72">
        <v>32</v>
      </c>
      <c r="O16" s="61"/>
      <c r="P16" s="73">
        <v>35964.31</v>
      </c>
      <c r="Q16" s="65">
        <v>47952.3</v>
      </c>
      <c r="R16" s="64">
        <v>8672.25</v>
      </c>
      <c r="S16" s="72">
        <v>32</v>
      </c>
      <c r="U16" s="73">
        <v>72887.509999999995</v>
      </c>
      <c r="V16" s="65">
        <v>97183.33</v>
      </c>
      <c r="W16" s="64">
        <v>17575.689999999999</v>
      </c>
      <c r="X16" s="72">
        <v>32</v>
      </c>
      <c r="Z16" s="73">
        <v>874650.01</v>
      </c>
      <c r="AA16" s="65">
        <v>1166200</v>
      </c>
      <c r="AB16" s="64">
        <v>210908.23</v>
      </c>
      <c r="AC16" s="72">
        <v>32</v>
      </c>
    </row>
    <row r="17" spans="1:29" x14ac:dyDescent="0.25">
      <c r="A17" s="73">
        <v>3196.83</v>
      </c>
      <c r="B17" s="65">
        <v>9590.4599999999991</v>
      </c>
      <c r="C17" s="64">
        <v>833.89</v>
      </c>
      <c r="D17" s="72">
        <v>34</v>
      </c>
      <c r="F17" s="73">
        <v>22377.75</v>
      </c>
      <c r="G17" s="65">
        <v>67133.22</v>
      </c>
      <c r="H17" s="64">
        <v>5837.23</v>
      </c>
      <c r="I17" s="72">
        <v>34</v>
      </c>
      <c r="K17" s="73">
        <v>31968.21</v>
      </c>
      <c r="L17" s="65">
        <v>95904.6</v>
      </c>
      <c r="M17" s="64">
        <v>8338.9</v>
      </c>
      <c r="N17" s="72">
        <v>34</v>
      </c>
      <c r="O17" s="61"/>
      <c r="P17" s="73">
        <v>47952.31</v>
      </c>
      <c r="Q17" s="65">
        <v>143856.9</v>
      </c>
      <c r="R17" s="64">
        <v>12508.35</v>
      </c>
      <c r="S17" s="72">
        <v>34</v>
      </c>
      <c r="U17" s="73">
        <v>97183.34</v>
      </c>
      <c r="V17" s="65">
        <v>291550</v>
      </c>
      <c r="W17" s="64">
        <v>25350.35</v>
      </c>
      <c r="X17" s="72">
        <v>34</v>
      </c>
      <c r="Z17" s="73">
        <v>1166200.01</v>
      </c>
      <c r="AA17" s="65">
        <v>3498600</v>
      </c>
      <c r="AB17" s="64">
        <v>304204.21000000002</v>
      </c>
      <c r="AC17" s="72">
        <v>34</v>
      </c>
    </row>
    <row r="18" spans="1:29" ht="15.75" thickBot="1" x14ac:dyDescent="0.3">
      <c r="A18" s="74">
        <v>9590.4699999999993</v>
      </c>
      <c r="B18" s="75" t="s">
        <v>391</v>
      </c>
      <c r="C18" s="76">
        <v>3007.73</v>
      </c>
      <c r="D18" s="77">
        <v>35</v>
      </c>
      <c r="F18" s="74">
        <v>67133.23</v>
      </c>
      <c r="G18" s="75" t="s">
        <v>391</v>
      </c>
      <c r="H18" s="76">
        <v>21054.11</v>
      </c>
      <c r="I18" s="77">
        <v>35</v>
      </c>
      <c r="K18" s="74">
        <v>95904.61</v>
      </c>
      <c r="L18" s="75" t="s">
        <v>391</v>
      </c>
      <c r="M18" s="76">
        <v>30077.3</v>
      </c>
      <c r="N18" s="77">
        <v>35</v>
      </c>
      <c r="O18" s="61"/>
      <c r="P18" s="74">
        <v>143856.91</v>
      </c>
      <c r="Q18" s="75" t="s">
        <v>391</v>
      </c>
      <c r="R18" s="76">
        <v>45115.95</v>
      </c>
      <c r="S18" s="77">
        <v>35</v>
      </c>
      <c r="U18" s="74">
        <v>291550.01</v>
      </c>
      <c r="V18" s="75" t="s">
        <v>391</v>
      </c>
      <c r="W18" s="76">
        <v>91435.02</v>
      </c>
      <c r="X18" s="77">
        <v>35</v>
      </c>
      <c r="Z18" s="74">
        <v>3498600.01</v>
      </c>
      <c r="AA18" s="75" t="s">
        <v>391</v>
      </c>
      <c r="AB18" s="76">
        <v>1097220.21</v>
      </c>
      <c r="AC18" s="77">
        <v>35</v>
      </c>
    </row>
    <row r="21" spans="1:29" ht="15.75" thickBot="1" x14ac:dyDescent="0.3"/>
    <row r="22" spans="1:29" ht="15.75" thickBot="1" x14ac:dyDescent="0.3">
      <c r="A22" s="141" t="s">
        <v>414</v>
      </c>
      <c r="B22" s="142"/>
      <c r="C22" s="143"/>
      <c r="F22" s="141" t="s">
        <v>413</v>
      </c>
      <c r="G22" s="142"/>
      <c r="H22" s="143"/>
      <c r="K22" s="141" t="s">
        <v>416</v>
      </c>
      <c r="L22" s="142"/>
      <c r="M22" s="143"/>
      <c r="P22" s="141" t="s">
        <v>412</v>
      </c>
      <c r="Q22" s="142"/>
      <c r="R22" s="143"/>
      <c r="U22" s="141" t="s">
        <v>411</v>
      </c>
      <c r="V22" s="142"/>
      <c r="W22" s="143"/>
      <c r="Z22" s="141" t="s">
        <v>415</v>
      </c>
      <c r="AA22" s="142"/>
      <c r="AB22" s="143"/>
    </row>
    <row r="23" spans="1:29" ht="75" x14ac:dyDescent="0.25">
      <c r="A23" s="66" t="s">
        <v>404</v>
      </c>
      <c r="B23" s="67" t="s">
        <v>405</v>
      </c>
      <c r="C23" s="67" t="s">
        <v>410</v>
      </c>
      <c r="F23" s="66" t="s">
        <v>404</v>
      </c>
      <c r="G23" s="67" t="s">
        <v>405</v>
      </c>
      <c r="H23" s="67" t="s">
        <v>409</v>
      </c>
      <c r="K23" s="66" t="s">
        <v>404</v>
      </c>
      <c r="L23" s="67" t="s">
        <v>405</v>
      </c>
      <c r="M23" s="67" t="s">
        <v>408</v>
      </c>
      <c r="P23" s="66" t="s">
        <v>404</v>
      </c>
      <c r="Q23" s="67" t="s">
        <v>405</v>
      </c>
      <c r="R23" s="67" t="s">
        <v>407</v>
      </c>
      <c r="U23" s="66" t="s">
        <v>404</v>
      </c>
      <c r="V23" s="67" t="s">
        <v>405</v>
      </c>
      <c r="W23" s="67" t="s">
        <v>406</v>
      </c>
      <c r="Z23" s="66" t="s">
        <v>404</v>
      </c>
      <c r="AA23" s="67" t="s">
        <v>405</v>
      </c>
      <c r="AB23" s="67" t="s">
        <v>406</v>
      </c>
    </row>
    <row r="24" spans="1:29" x14ac:dyDescent="0.25">
      <c r="A24" s="71">
        <v>0.01</v>
      </c>
      <c r="B24" s="64">
        <v>58.19</v>
      </c>
      <c r="C24" s="64">
        <v>13.39</v>
      </c>
      <c r="F24" s="71">
        <v>0.01</v>
      </c>
      <c r="G24" s="64">
        <v>407.33</v>
      </c>
      <c r="H24" s="64">
        <v>93.73</v>
      </c>
      <c r="K24" s="71">
        <v>0.01</v>
      </c>
      <c r="L24" s="64">
        <v>581.9</v>
      </c>
      <c r="M24" s="64">
        <v>133.9</v>
      </c>
      <c r="P24" s="71">
        <v>0.01</v>
      </c>
      <c r="Q24" s="64">
        <v>872.85</v>
      </c>
      <c r="R24" s="64">
        <v>200.85</v>
      </c>
      <c r="U24" s="71">
        <v>0.01</v>
      </c>
      <c r="V24" s="64">
        <v>1768.96</v>
      </c>
      <c r="W24" s="64">
        <v>407.02</v>
      </c>
      <c r="Z24" s="71">
        <v>0.01</v>
      </c>
      <c r="AA24" s="64">
        <f>B24*365</f>
        <v>21239.35</v>
      </c>
      <c r="AB24" s="64">
        <f>C24*365</f>
        <v>4887.3500000000004</v>
      </c>
    </row>
    <row r="25" spans="1:29" x14ac:dyDescent="0.25">
      <c r="A25" s="71">
        <v>58.2</v>
      </c>
      <c r="B25" s="64">
        <v>87.28</v>
      </c>
      <c r="C25" s="64">
        <v>13.38</v>
      </c>
      <c r="F25" s="71">
        <v>407.34</v>
      </c>
      <c r="G25" s="64">
        <v>610.96</v>
      </c>
      <c r="H25" s="64">
        <v>93.66</v>
      </c>
      <c r="K25" s="71">
        <v>581.91</v>
      </c>
      <c r="L25" s="64">
        <v>872.8</v>
      </c>
      <c r="M25" s="64">
        <v>133.80000000000001</v>
      </c>
      <c r="P25" s="71">
        <v>872.86</v>
      </c>
      <c r="Q25" s="64">
        <v>1309.2</v>
      </c>
      <c r="R25" s="64">
        <v>200.7</v>
      </c>
      <c r="U25" s="71">
        <v>1768.97</v>
      </c>
      <c r="V25" s="64">
        <v>2653.38</v>
      </c>
      <c r="W25" s="64">
        <v>406.83</v>
      </c>
      <c r="Z25" s="71">
        <f>AA24+0.01</f>
        <v>21239.359999999997</v>
      </c>
      <c r="AA25" s="64">
        <f>B25*365</f>
        <v>31857.200000000001</v>
      </c>
      <c r="AB25" s="64">
        <f t="shared" ref="AB25:AB34" si="0">C25*365</f>
        <v>4883.7000000000007</v>
      </c>
    </row>
    <row r="26" spans="1:29" x14ac:dyDescent="0.25">
      <c r="A26" s="71">
        <v>87.29</v>
      </c>
      <c r="B26" s="64">
        <v>114.24</v>
      </c>
      <c r="C26" s="64">
        <v>13.38</v>
      </c>
      <c r="F26" s="71">
        <v>610.97</v>
      </c>
      <c r="G26" s="64">
        <v>799.68</v>
      </c>
      <c r="H26" s="64">
        <v>93.66</v>
      </c>
      <c r="K26" s="71">
        <v>872.81</v>
      </c>
      <c r="L26" s="64">
        <v>1142.4000000000001</v>
      </c>
      <c r="M26" s="64">
        <v>133.80000000000001</v>
      </c>
      <c r="P26" s="71">
        <v>1309.21</v>
      </c>
      <c r="Q26" s="64">
        <v>1713.6</v>
      </c>
      <c r="R26" s="64">
        <v>200.7</v>
      </c>
      <c r="U26" s="71">
        <v>2653.39</v>
      </c>
      <c r="V26" s="64">
        <v>3472.84</v>
      </c>
      <c r="W26" s="64">
        <v>406.62</v>
      </c>
      <c r="Z26" s="71">
        <f t="shared" ref="Z26:Z34" si="1">AA25+0.01</f>
        <v>31857.21</v>
      </c>
      <c r="AA26" s="64">
        <f t="shared" ref="AA26:AA33" si="2">B26*365</f>
        <v>41697.599999999999</v>
      </c>
      <c r="AB26" s="64">
        <f t="shared" si="0"/>
        <v>4883.7000000000007</v>
      </c>
    </row>
    <row r="27" spans="1:29" x14ac:dyDescent="0.25">
      <c r="A27" s="71">
        <v>114.25</v>
      </c>
      <c r="B27" s="64">
        <v>116.38</v>
      </c>
      <c r="C27" s="64">
        <v>12.92</v>
      </c>
      <c r="F27" s="71">
        <v>799.69</v>
      </c>
      <c r="G27" s="64">
        <v>814.66</v>
      </c>
      <c r="H27" s="64">
        <v>90.44</v>
      </c>
      <c r="K27" s="71">
        <v>1142.4100000000001</v>
      </c>
      <c r="L27" s="64">
        <v>1163.8</v>
      </c>
      <c r="M27" s="64">
        <v>129.19999999999999</v>
      </c>
      <c r="P27" s="71">
        <v>1713.61</v>
      </c>
      <c r="Q27" s="64">
        <v>1745.7</v>
      </c>
      <c r="R27" s="64">
        <v>193.8</v>
      </c>
      <c r="U27" s="71">
        <v>3472.85</v>
      </c>
      <c r="V27" s="64">
        <v>3537.87</v>
      </c>
      <c r="W27" s="64">
        <v>392.77</v>
      </c>
      <c r="Z27" s="71">
        <f t="shared" si="1"/>
        <v>41697.61</v>
      </c>
      <c r="AA27" s="64">
        <f t="shared" si="2"/>
        <v>42478.7</v>
      </c>
      <c r="AB27" s="64">
        <f t="shared" si="0"/>
        <v>4715.8</v>
      </c>
    </row>
    <row r="28" spans="1:29" x14ac:dyDescent="0.25">
      <c r="A28" s="71">
        <v>116.39</v>
      </c>
      <c r="B28" s="64">
        <v>146.25</v>
      </c>
      <c r="C28" s="64">
        <v>12.58</v>
      </c>
      <c r="F28" s="71">
        <v>814.67</v>
      </c>
      <c r="G28" s="64">
        <v>1023.75</v>
      </c>
      <c r="H28" s="64">
        <v>88.06</v>
      </c>
      <c r="K28" s="71">
        <v>1163.81</v>
      </c>
      <c r="L28" s="64">
        <v>1462.5</v>
      </c>
      <c r="M28" s="64">
        <v>125.8</v>
      </c>
      <c r="P28" s="71">
        <v>1745.71</v>
      </c>
      <c r="Q28" s="64">
        <v>2193.75</v>
      </c>
      <c r="R28" s="64">
        <v>188.7</v>
      </c>
      <c r="U28" s="71">
        <v>3537.88</v>
      </c>
      <c r="V28" s="64">
        <v>4446.1499999999996</v>
      </c>
      <c r="W28" s="64">
        <v>382.46</v>
      </c>
      <c r="Z28" s="71">
        <f t="shared" si="1"/>
        <v>42478.71</v>
      </c>
      <c r="AA28" s="64">
        <f t="shared" si="2"/>
        <v>53381.25</v>
      </c>
      <c r="AB28" s="64">
        <f t="shared" si="0"/>
        <v>4591.7</v>
      </c>
    </row>
    <row r="29" spans="1:29" x14ac:dyDescent="0.25">
      <c r="A29" s="71">
        <v>146.26</v>
      </c>
      <c r="B29" s="64">
        <v>155.16999999999999</v>
      </c>
      <c r="C29" s="64">
        <v>11.65</v>
      </c>
      <c r="F29" s="71">
        <v>1023.76</v>
      </c>
      <c r="G29" s="64">
        <v>1086.19</v>
      </c>
      <c r="H29" s="64">
        <v>81.55</v>
      </c>
      <c r="K29" s="71">
        <v>1462.51</v>
      </c>
      <c r="L29" s="64">
        <v>1551.7</v>
      </c>
      <c r="M29" s="64">
        <v>116.5</v>
      </c>
      <c r="P29" s="71">
        <v>2193.7600000000002</v>
      </c>
      <c r="Q29" s="64">
        <v>2327.5500000000002</v>
      </c>
      <c r="R29" s="64">
        <v>174.75</v>
      </c>
      <c r="U29" s="71">
        <v>4446.16</v>
      </c>
      <c r="V29" s="64">
        <v>4717.18</v>
      </c>
      <c r="W29" s="64">
        <v>354.23</v>
      </c>
      <c r="Z29" s="71">
        <f t="shared" si="1"/>
        <v>53381.26</v>
      </c>
      <c r="AA29" s="64">
        <f t="shared" si="2"/>
        <v>56637.049999999996</v>
      </c>
      <c r="AB29" s="64">
        <f t="shared" si="0"/>
        <v>4252.25</v>
      </c>
    </row>
    <row r="30" spans="1:29" x14ac:dyDescent="0.25">
      <c r="A30" s="71">
        <v>155.18</v>
      </c>
      <c r="B30" s="64">
        <v>175.51</v>
      </c>
      <c r="C30" s="64">
        <v>10.69</v>
      </c>
      <c r="F30" s="71">
        <v>1086.2</v>
      </c>
      <c r="G30" s="64">
        <v>1228.57</v>
      </c>
      <c r="H30" s="64">
        <v>74.83</v>
      </c>
      <c r="K30" s="71">
        <v>1551.71</v>
      </c>
      <c r="L30" s="64">
        <v>1755.1</v>
      </c>
      <c r="M30" s="64">
        <v>106.9</v>
      </c>
      <c r="P30" s="71">
        <v>2327.56</v>
      </c>
      <c r="Q30" s="64">
        <v>2632.65</v>
      </c>
      <c r="R30" s="64">
        <v>160.35</v>
      </c>
      <c r="U30" s="71">
        <v>4717.1899999999996</v>
      </c>
      <c r="V30" s="64">
        <v>5335.42</v>
      </c>
      <c r="W30" s="64">
        <v>324.87</v>
      </c>
      <c r="Z30" s="71">
        <f t="shared" si="1"/>
        <v>56637.06</v>
      </c>
      <c r="AA30" s="64">
        <f t="shared" si="2"/>
        <v>64061.149999999994</v>
      </c>
      <c r="AB30" s="64">
        <f t="shared" si="0"/>
        <v>3901.85</v>
      </c>
    </row>
    <row r="31" spans="1:29" x14ac:dyDescent="0.25">
      <c r="A31" s="71">
        <v>175.52</v>
      </c>
      <c r="B31" s="65">
        <v>204.76</v>
      </c>
      <c r="C31" s="64">
        <v>9.69</v>
      </c>
      <c r="F31" s="71">
        <v>1228.58</v>
      </c>
      <c r="G31" s="65">
        <v>1433.32</v>
      </c>
      <c r="H31" s="64">
        <v>67.83</v>
      </c>
      <c r="K31" s="71">
        <v>1755.11</v>
      </c>
      <c r="L31" s="65">
        <v>2047.6</v>
      </c>
      <c r="M31" s="64">
        <v>96.9</v>
      </c>
      <c r="P31" s="71">
        <v>2632.66</v>
      </c>
      <c r="Q31" s="65">
        <v>3071.4</v>
      </c>
      <c r="R31" s="64">
        <v>145.35</v>
      </c>
      <c r="U31" s="71">
        <v>5335.43</v>
      </c>
      <c r="V31" s="65">
        <v>6224.67</v>
      </c>
      <c r="W31" s="64">
        <v>294.63</v>
      </c>
      <c r="Z31" s="71">
        <f t="shared" si="1"/>
        <v>64061.159999999996</v>
      </c>
      <c r="AA31" s="64">
        <f t="shared" si="2"/>
        <v>74737.399999999994</v>
      </c>
      <c r="AB31" s="64">
        <f t="shared" si="0"/>
        <v>3536.85</v>
      </c>
    </row>
    <row r="32" spans="1:29" x14ac:dyDescent="0.25">
      <c r="A32" s="73">
        <v>204.77</v>
      </c>
      <c r="B32" s="65">
        <v>234.01</v>
      </c>
      <c r="C32" s="64">
        <v>8.34</v>
      </c>
      <c r="F32" s="73">
        <v>1433.33</v>
      </c>
      <c r="G32" s="65">
        <v>1638.07</v>
      </c>
      <c r="H32" s="64">
        <v>58.38</v>
      </c>
      <c r="K32" s="73">
        <v>2047.61</v>
      </c>
      <c r="L32" s="65">
        <v>2340.1</v>
      </c>
      <c r="M32" s="64">
        <v>83.4</v>
      </c>
      <c r="P32" s="73">
        <v>3071.41</v>
      </c>
      <c r="Q32" s="65">
        <v>3510.15</v>
      </c>
      <c r="R32" s="64">
        <v>125.1</v>
      </c>
      <c r="U32" s="73">
        <v>6224.68</v>
      </c>
      <c r="V32" s="65">
        <v>7113.9</v>
      </c>
      <c r="W32" s="64">
        <v>253.54</v>
      </c>
      <c r="Z32" s="71">
        <f t="shared" si="1"/>
        <v>74737.409999999989</v>
      </c>
      <c r="AA32" s="64">
        <f t="shared" si="2"/>
        <v>85413.65</v>
      </c>
      <c r="AB32" s="64">
        <f t="shared" si="0"/>
        <v>3044.1</v>
      </c>
    </row>
    <row r="33" spans="1:28" x14ac:dyDescent="0.25">
      <c r="A33" s="73">
        <v>234.02</v>
      </c>
      <c r="B33" s="65">
        <v>242.84</v>
      </c>
      <c r="C33" s="64">
        <v>7.16</v>
      </c>
      <c r="F33" s="73">
        <v>1638.08</v>
      </c>
      <c r="G33" s="65">
        <v>1699.88</v>
      </c>
      <c r="H33" s="64">
        <v>50.12</v>
      </c>
      <c r="K33" s="73">
        <v>2340.11</v>
      </c>
      <c r="L33" s="65">
        <v>2428.4</v>
      </c>
      <c r="M33" s="64">
        <v>71.599999999999994</v>
      </c>
      <c r="P33" s="73">
        <v>3510.16</v>
      </c>
      <c r="Q33" s="65">
        <v>3642.6</v>
      </c>
      <c r="R33" s="64">
        <v>107.4</v>
      </c>
      <c r="U33" s="73">
        <v>7113.91</v>
      </c>
      <c r="V33" s="65">
        <v>7382.33</v>
      </c>
      <c r="W33" s="64">
        <v>217.61</v>
      </c>
      <c r="Z33" s="71">
        <f t="shared" si="1"/>
        <v>85413.659999999989</v>
      </c>
      <c r="AA33" s="64">
        <f t="shared" si="2"/>
        <v>88636.6</v>
      </c>
      <c r="AB33" s="64">
        <f t="shared" si="0"/>
        <v>2613.4</v>
      </c>
    </row>
    <row r="34" spans="1:28" x14ac:dyDescent="0.25">
      <c r="A34" s="73">
        <v>242.85</v>
      </c>
      <c r="B34" s="65" t="s">
        <v>391</v>
      </c>
      <c r="C34" s="64">
        <v>0</v>
      </c>
      <c r="F34" s="73">
        <v>1699.89</v>
      </c>
      <c r="G34" s="65" t="s">
        <v>391</v>
      </c>
      <c r="H34" s="64">
        <v>0</v>
      </c>
      <c r="K34" s="73">
        <v>2428.41</v>
      </c>
      <c r="L34" s="65" t="s">
        <v>391</v>
      </c>
      <c r="M34" s="64">
        <v>0</v>
      </c>
      <c r="P34" s="73">
        <v>3642.61</v>
      </c>
      <c r="Q34" s="65" t="s">
        <v>391</v>
      </c>
      <c r="R34" s="64">
        <v>0</v>
      </c>
      <c r="U34" s="73">
        <v>7382.34</v>
      </c>
      <c r="V34" s="65" t="s">
        <v>391</v>
      </c>
      <c r="W34" s="64">
        <v>0</v>
      </c>
      <c r="Z34" s="71">
        <f t="shared" si="1"/>
        <v>88636.61</v>
      </c>
      <c r="AA34" s="65" t="s">
        <v>391</v>
      </c>
      <c r="AB34" s="64">
        <f t="shared" si="0"/>
        <v>0</v>
      </c>
    </row>
    <row r="35" spans="1:28" ht="15.75" thickBot="1" x14ac:dyDescent="0.3">
      <c r="A35" s="74"/>
      <c r="B35" s="75"/>
      <c r="C35" s="76"/>
      <c r="F35" s="74"/>
      <c r="G35" s="75"/>
      <c r="H35" s="76"/>
      <c r="K35" s="74"/>
      <c r="L35" s="75"/>
      <c r="M35" s="76"/>
      <c r="P35" s="74"/>
      <c r="Q35" s="75"/>
      <c r="R35" s="76"/>
      <c r="U35" s="74"/>
      <c r="V35" s="75"/>
      <c r="W35" s="76"/>
      <c r="Z35" s="74"/>
      <c r="AA35" s="75"/>
      <c r="AB35" s="76"/>
    </row>
    <row r="36" spans="1:28" ht="18" x14ac:dyDescent="0.25">
      <c r="U36" s="78"/>
    </row>
  </sheetData>
  <mergeCells count="12">
    <mergeCell ref="A22:C22"/>
    <mergeCell ref="Z22:AB22"/>
    <mergeCell ref="Z5:AC5"/>
    <mergeCell ref="U22:W22"/>
    <mergeCell ref="P22:R22"/>
    <mergeCell ref="K22:M22"/>
    <mergeCell ref="F22:H22"/>
    <mergeCell ref="A5:D5"/>
    <mergeCell ref="F5:I5"/>
    <mergeCell ref="K5:N5"/>
    <mergeCell ref="P5:S5"/>
    <mergeCell ref="U5:X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38" r:id="rId4" name="Control 22">
          <controlPr defaultSize="0" r:id="rId5">
            <anchor moveWithCells="1">
              <from>
                <xdr:col>20</xdr:col>
                <xdr:colOff>0</xdr:colOff>
                <xdr:row>36</xdr:row>
                <xdr:rowOff>0</xdr:rowOff>
              </from>
              <to>
                <xdr:col>20</xdr:col>
                <xdr:colOff>914400</xdr:colOff>
                <xdr:row>37</xdr:row>
                <xdr:rowOff>38100</xdr:rowOff>
              </to>
            </anchor>
          </controlPr>
        </control>
      </mc:Choice>
      <mc:Fallback>
        <control shapeId="9238" r:id="rId4" name="Control 22"/>
      </mc:Fallback>
    </mc:AlternateContent>
    <mc:AlternateContent xmlns:mc="http://schemas.openxmlformats.org/markup-compatibility/2006">
      <mc:Choice Requires="x14">
        <control shapeId="9237" r:id="rId6" name="Control 21">
          <controlPr defaultSize="0" r:id="rId7">
            <anchor moveWithCells="1">
              <from>
                <xdr:col>20</xdr:col>
                <xdr:colOff>0</xdr:colOff>
                <xdr:row>36</xdr:row>
                <xdr:rowOff>0</xdr:rowOff>
              </from>
              <to>
                <xdr:col>20</xdr:col>
                <xdr:colOff>914400</xdr:colOff>
                <xdr:row>37</xdr:row>
                <xdr:rowOff>38100</xdr:rowOff>
              </to>
            </anchor>
          </controlPr>
        </control>
      </mc:Choice>
      <mc:Fallback>
        <control shapeId="9237" r:id="rId6" name="Control 2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H43"/>
  <sheetViews>
    <sheetView workbookViewId="0">
      <selection activeCell="A2" sqref="A2"/>
    </sheetView>
  </sheetViews>
  <sheetFormatPr baseColWidth="10" defaultRowHeight="15" x14ac:dyDescent="0.25"/>
  <cols>
    <col min="2" max="2" width="14" customWidth="1"/>
    <col min="3" max="3" width="23.85546875" customWidth="1"/>
    <col min="4" max="4" width="19.5703125" bestFit="1" customWidth="1"/>
    <col min="5" max="5" width="11.85546875" bestFit="1" customWidth="1"/>
  </cols>
  <sheetData>
    <row r="1" spans="1:8" x14ac:dyDescent="0.25">
      <c r="A1" t="s">
        <v>543</v>
      </c>
    </row>
    <row r="3" spans="1:8" x14ac:dyDescent="0.25">
      <c r="C3" t="s">
        <v>417</v>
      </c>
      <c r="E3" s="79" t="s">
        <v>382</v>
      </c>
      <c r="G3" s="82" t="str">
        <f>VLOOKUP($E$3,$G$6:$H$11,2,0)</f>
        <v>SQ</v>
      </c>
    </row>
    <row r="4" spans="1:8" x14ac:dyDescent="0.25">
      <c r="H4" s="82"/>
    </row>
    <row r="5" spans="1:8" x14ac:dyDescent="0.25">
      <c r="G5" s="82" t="s">
        <v>433</v>
      </c>
      <c r="H5" s="82" t="s">
        <v>434</v>
      </c>
    </row>
    <row r="6" spans="1:8" x14ac:dyDescent="0.25">
      <c r="C6" t="s">
        <v>418</v>
      </c>
      <c r="E6" s="84">
        <v>2131.52</v>
      </c>
      <c r="G6" s="82" t="s">
        <v>432</v>
      </c>
      <c r="H6" s="82" t="s">
        <v>436</v>
      </c>
    </row>
    <row r="7" spans="1:8" x14ac:dyDescent="0.25">
      <c r="B7" s="80" t="s">
        <v>420</v>
      </c>
      <c r="C7" t="s">
        <v>419</v>
      </c>
      <c r="E7" s="84">
        <f ca="1">VLOOKUP($E$6,INDIRECT($E$3),1)</f>
        <v>285.45999999999998</v>
      </c>
      <c r="G7" s="82" t="s">
        <v>383</v>
      </c>
      <c r="H7" s="82" t="s">
        <v>437</v>
      </c>
    </row>
    <row r="8" spans="1:8" x14ac:dyDescent="0.25">
      <c r="B8" s="80" t="s">
        <v>421</v>
      </c>
      <c r="C8" t="s">
        <v>422</v>
      </c>
      <c r="E8" s="84">
        <f ca="1">E6-E7</f>
        <v>1846.06</v>
      </c>
      <c r="G8" s="82" t="s">
        <v>435</v>
      </c>
      <c r="H8" s="82" t="s">
        <v>438</v>
      </c>
    </row>
    <row r="9" spans="1:8" x14ac:dyDescent="0.25">
      <c r="B9" s="80" t="s">
        <v>423</v>
      </c>
      <c r="C9" t="s">
        <v>424</v>
      </c>
      <c r="E9" s="84">
        <f ca="1">VLOOKUP($E$6,INDIRECT($E$3),4)</f>
        <v>6.4</v>
      </c>
      <c r="G9" s="82" t="s">
        <v>382</v>
      </c>
      <c r="H9" s="82" t="s">
        <v>439</v>
      </c>
    </row>
    <row r="10" spans="1:8" x14ac:dyDescent="0.25">
      <c r="B10" s="80" t="s">
        <v>421</v>
      </c>
      <c r="C10" t="s">
        <v>425</v>
      </c>
      <c r="E10" s="84">
        <f ca="1">ROUND(E8*E9%,2)</f>
        <v>118.15</v>
      </c>
      <c r="G10" s="82" t="s">
        <v>52</v>
      </c>
      <c r="H10" s="82" t="s">
        <v>440</v>
      </c>
    </row>
    <row r="11" spans="1:8" x14ac:dyDescent="0.25">
      <c r="B11" s="80" t="s">
        <v>426</v>
      </c>
      <c r="C11" t="s">
        <v>427</v>
      </c>
      <c r="E11" s="84">
        <f ca="1">VLOOKUP($E$6,INDIRECT($E$3),3)</f>
        <v>5.55</v>
      </c>
      <c r="G11" s="82" t="s">
        <v>384</v>
      </c>
      <c r="H11" s="82" t="s">
        <v>441</v>
      </c>
    </row>
    <row r="12" spans="1:8" x14ac:dyDescent="0.25">
      <c r="B12" s="80" t="s">
        <v>421</v>
      </c>
      <c r="C12" t="s">
        <v>428</v>
      </c>
      <c r="E12" s="84">
        <f ca="1">ROUND(E10+E11,2)</f>
        <v>123.7</v>
      </c>
      <c r="G12" s="82"/>
      <c r="H12" s="82"/>
    </row>
    <row r="13" spans="1:8" x14ac:dyDescent="0.25">
      <c r="B13" s="80" t="s">
        <v>420</v>
      </c>
      <c r="C13" t="s">
        <v>430</v>
      </c>
      <c r="E13" s="84">
        <f ca="1">VLOOKUP($E$6,INDIRECT($G$3),3)</f>
        <v>188.7</v>
      </c>
    </row>
    <row r="14" spans="1:8" x14ac:dyDescent="0.25">
      <c r="B14" s="80" t="s">
        <v>421</v>
      </c>
      <c r="C14" t="str">
        <f ca="1">IF(E12&gt;E13,"ISR A RETENER","SUBSIDIO PARA EL EMPLEO A ENTREGAR")</f>
        <v>SUBSIDIO PARA EL EMPLEO A ENTREGAR</v>
      </c>
      <c r="E14" s="84">
        <f ca="1">IF(E12&gt;E13,E12-E13,E13-E12)</f>
        <v>64.999999999999986</v>
      </c>
    </row>
    <row r="15" spans="1:8" x14ac:dyDescent="0.25">
      <c r="C15" s="81" t="s">
        <v>431</v>
      </c>
      <c r="D15" s="81"/>
      <c r="E15" s="83">
        <f ca="1">IF(E12&gt;E13,E6-E14,E6+E14)</f>
        <v>2196.52</v>
      </c>
    </row>
    <row r="19" spans="2:6" x14ac:dyDescent="0.25">
      <c r="C19" s="54" t="s">
        <v>447</v>
      </c>
    </row>
    <row r="20" spans="2:6" x14ac:dyDescent="0.25">
      <c r="C20" s="54" t="s">
        <v>455</v>
      </c>
      <c r="D20" s="54"/>
      <c r="E20" s="54" t="s">
        <v>445</v>
      </c>
      <c r="F20" s="54" t="s">
        <v>446</v>
      </c>
    </row>
    <row r="21" spans="2:6" x14ac:dyDescent="0.25">
      <c r="B21" t="s">
        <v>450</v>
      </c>
      <c r="C21" t="s">
        <v>366</v>
      </c>
      <c r="E21" s="84"/>
      <c r="F21" s="84"/>
    </row>
    <row r="22" spans="2:6" x14ac:dyDescent="0.25">
      <c r="B22" t="s">
        <v>451</v>
      </c>
      <c r="D22" t="s">
        <v>442</v>
      </c>
      <c r="E22" s="84">
        <v>12000</v>
      </c>
      <c r="F22" s="84"/>
    </row>
    <row r="23" spans="2:6" x14ac:dyDescent="0.25">
      <c r="E23" s="84"/>
      <c r="F23" s="84"/>
    </row>
    <row r="24" spans="2:6" x14ac:dyDescent="0.25">
      <c r="B24" t="s">
        <v>449</v>
      </c>
      <c r="C24" t="s">
        <v>443</v>
      </c>
      <c r="E24" s="84"/>
      <c r="F24" s="84"/>
    </row>
    <row r="25" spans="2:6" x14ac:dyDescent="0.25">
      <c r="B25" t="s">
        <v>452</v>
      </c>
      <c r="D25" t="s">
        <v>444</v>
      </c>
      <c r="E25" s="84"/>
      <c r="F25" s="84">
        <v>1270.0899999999999</v>
      </c>
    </row>
    <row r="26" spans="2:6" x14ac:dyDescent="0.25">
      <c r="B26" t="s">
        <v>448</v>
      </c>
      <c r="C26" t="s">
        <v>370</v>
      </c>
      <c r="E26" s="85"/>
      <c r="F26" s="85">
        <v>10729.91</v>
      </c>
    </row>
    <row r="27" spans="2:6" x14ac:dyDescent="0.25">
      <c r="E27" s="53">
        <f>SUM(E22:E26)</f>
        <v>12000</v>
      </c>
      <c r="F27" s="53">
        <f>SUM(F22:F26)</f>
        <v>12000</v>
      </c>
    </row>
    <row r="30" spans="2:6" x14ac:dyDescent="0.25">
      <c r="C30" s="54" t="s">
        <v>455</v>
      </c>
      <c r="D30" s="54"/>
      <c r="E30" s="54" t="s">
        <v>445</v>
      </c>
      <c r="F30" s="54" t="s">
        <v>446</v>
      </c>
    </row>
    <row r="31" spans="2:6" x14ac:dyDescent="0.25">
      <c r="B31" t="s">
        <v>453</v>
      </c>
      <c r="C31" t="s">
        <v>366</v>
      </c>
    </row>
    <row r="32" spans="2:6" x14ac:dyDescent="0.25">
      <c r="B32" t="s">
        <v>454</v>
      </c>
      <c r="D32" t="s">
        <v>442</v>
      </c>
      <c r="E32" s="84">
        <v>2500</v>
      </c>
      <c r="F32" s="84"/>
    </row>
    <row r="33" spans="2:6" x14ac:dyDescent="0.25">
      <c r="B33" t="s">
        <v>449</v>
      </c>
      <c r="D33" t="s">
        <v>429</v>
      </c>
      <c r="E33" s="84">
        <v>272.75</v>
      </c>
      <c r="F33" s="84"/>
    </row>
    <row r="34" spans="2:6" x14ac:dyDescent="0.25">
      <c r="B34" t="s">
        <v>448</v>
      </c>
      <c r="C34" t="s">
        <v>370</v>
      </c>
      <c r="E34" s="85"/>
      <c r="F34" s="85">
        <v>2772.75</v>
      </c>
    </row>
    <row r="35" spans="2:6" x14ac:dyDescent="0.25">
      <c r="E35" s="53">
        <f>SUM(E32:E34)</f>
        <v>2772.75</v>
      </c>
      <c r="F35" s="53">
        <f>SUM(F32:F34)</f>
        <v>2772.75</v>
      </c>
    </row>
    <row r="38" spans="2:6" x14ac:dyDescent="0.25">
      <c r="C38" s="54" t="s">
        <v>455</v>
      </c>
      <c r="D38" s="54"/>
      <c r="E38" s="54" t="s">
        <v>445</v>
      </c>
      <c r="F38" s="54" t="s">
        <v>446</v>
      </c>
    </row>
    <row r="39" spans="2:6" x14ac:dyDescent="0.25">
      <c r="C39" t="s">
        <v>443</v>
      </c>
    </row>
    <row r="40" spans="2:6" x14ac:dyDescent="0.25">
      <c r="C40" t="s">
        <v>456</v>
      </c>
      <c r="E40" s="84">
        <v>1270.0899999999999</v>
      </c>
      <c r="F40" s="84"/>
    </row>
    <row r="41" spans="2:6" x14ac:dyDescent="0.25">
      <c r="C41" t="s">
        <v>429</v>
      </c>
      <c r="E41" s="84"/>
      <c r="F41" s="84">
        <v>272.75</v>
      </c>
    </row>
    <row r="42" spans="2:6" x14ac:dyDescent="0.25">
      <c r="C42" t="s">
        <v>370</v>
      </c>
      <c r="E42" s="85"/>
      <c r="F42" s="85">
        <f>E40-F41</f>
        <v>997.33999999999992</v>
      </c>
    </row>
    <row r="43" spans="2:6" x14ac:dyDescent="0.25">
      <c r="E43" s="53">
        <f>SUM(E40:E42)</f>
        <v>1270.0899999999999</v>
      </c>
      <c r="F43" s="53">
        <f>SUM(F40:F42)</f>
        <v>1270.0899999999999</v>
      </c>
    </row>
  </sheetData>
  <dataValidations count="1">
    <dataValidation type="list" allowBlank="1" showInputMessage="1" showErrorMessage="1" sqref="E3" xr:uid="{00000000-0002-0000-0800-000000000000}">
      <formula1>"DIARIA,SEMANAL,DECENAL,QUINCENAL,MENSUAL,ANUAL"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15</vt:i4>
      </vt:variant>
    </vt:vector>
  </HeadingPairs>
  <TitlesOfParts>
    <vt:vector size="25" baseType="lpstr">
      <vt:lpstr>Empleados</vt:lpstr>
      <vt:lpstr>RECIBO NOMINA</vt:lpstr>
      <vt:lpstr>CALCULO Y BASE</vt:lpstr>
      <vt:lpstr>Empleados (2)</vt:lpstr>
      <vt:lpstr>LISTA DE REPORTE</vt:lpstr>
      <vt:lpstr>TABLAS</vt:lpstr>
      <vt:lpstr>IMSS MESUAL</vt:lpstr>
      <vt:lpstr>IMSS BIM</vt:lpstr>
      <vt:lpstr>TARIFAS</vt:lpstr>
      <vt:lpstr>CALCULO DEL ISR 2020</vt:lpstr>
      <vt:lpstr>ANUAL</vt:lpstr>
      <vt:lpstr>'CALCULO Y BASE'!Área_de_impresión</vt:lpstr>
      <vt:lpstr>'LISTA DE REPORTE'!Área_de_impresión</vt:lpstr>
      <vt:lpstr>'RECIBO NOMINA'!Área_de_impresión</vt:lpstr>
      <vt:lpstr>DECENAL</vt:lpstr>
      <vt:lpstr>DIARIA</vt:lpstr>
      <vt:lpstr>MENSUAL</vt:lpstr>
      <vt:lpstr>QUINCENAL</vt:lpstr>
      <vt:lpstr>SA</vt:lpstr>
      <vt:lpstr>SD</vt:lpstr>
      <vt:lpstr>SDL</vt:lpstr>
      <vt:lpstr>SEMANAL</vt:lpstr>
      <vt:lpstr>SM</vt:lpstr>
      <vt:lpstr>SQ</vt:lpstr>
      <vt:lpstr>SS</vt:lpstr>
    </vt:vector>
  </TitlesOfParts>
  <Company>NOVAASFALTOS SA DE CV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GUERRERO</dc:creator>
  <cp:lastModifiedBy>Diego Vilbau</cp:lastModifiedBy>
  <cp:lastPrinted>2009-12-11T18:34:55Z</cp:lastPrinted>
  <dcterms:created xsi:type="dcterms:W3CDTF">2008-10-08T13:37:45Z</dcterms:created>
  <dcterms:modified xsi:type="dcterms:W3CDTF">2020-02-24T19:38:40Z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2c7369e3-a67a-43b6-ae8b-8eb1887b8259</vt:lpwstr>
  </property>
</Properties>
</file>